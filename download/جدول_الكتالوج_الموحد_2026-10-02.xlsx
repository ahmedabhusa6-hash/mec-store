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لخص" sheetId="1" state="visible" r:id="rId3"/>
    <sheet name="StackVault_الحي" sheetId="2" state="visible" r:id="rId4"/>
    <sheet name="StackVault_الأرشيف" sheetId="3" state="visible" r:id="rId5"/>
    <sheet name="الكيانات_الخارجية" sheetId="4" state="visible" r:id="rId6"/>
    <sheet name="مقارنة_الأسعار" sheetId="5" state="visible" r:id="rId7"/>
    <sheet name="بوابة_teamsoclo" sheetId="6" state="visible" r:id="rId8"/>
    <sheet name="المراجعة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<sst xmlns="http://schemas.openxmlformats.org/spreadsheetml/2006/main" count="6031" uniqueCount="2467">
  <si>
    <t xml:space="preserve">الجرد الشامل — كل عمليات سحب المنتجات (حتى 2026-10-02)</t>
  </si>
  <si>
    <t xml:space="preserve">الكيان</t>
  </si>
  <si>
    <t xml:space="preserve">المنصة / النطاق</t>
  </si>
  <si>
    <t xml:space="preserve">عدد المنتجات</t>
  </si>
  <si>
    <t xml:space="preserve">أدنى سعر $</t>
  </si>
  <si>
    <t xml:space="preserve">أعلى سعر $</t>
  </si>
  <si>
    <t xml:space="preserve">المتوفر</t>
  </si>
  <si>
    <t xml:space="preserve">تاريخ السحب</t>
  </si>
  <si>
    <t xml:space="preserve">الحكم</t>
  </si>
  <si>
    <t xml:space="preserve">StackVault — الكتالوج الحي</t>
  </si>
  <si>
    <t xml:space="preserve">stackvault.shop (decohomz.com/sv-api)</t>
  </si>
  <si>
    <t xml:space="preserve">2026-10-02 ~03:25 +03</t>
  </si>
  <si>
    <t xml:space="preserve">الهدف الرئيسي — مكتمل: cb_ 229 · ps_ 20 · mr_ 32 · dummy 1</t>
  </si>
  <si>
    <t xml:space="preserve">StackVault — أرشيف ما قبل الهجرة (مع costPrice)</t>
  </si>
  <si>
    <t xml:space="preserve">stackvault.shop (29-30/09)</t>
  </si>
  <si>
    <t xml:space="preserve">2026-09-30</t>
  </si>
  <si>
    <t xml:space="preserve">ذهب المفاوضات: تسريب costPrice مغلَق حاليًا — هامش الربح محسوب لكل منتج</t>
  </si>
  <si>
    <t xml:space="preserve">ProdSeller — منصة اللوحة الجملية</t>
  </si>
  <si>
    <t xml:space="preserve">prodseller.com (SookBit, OVH Strasbourg)</t>
  </si>
  <si>
    <t xml:space="preserve">2026-09-29</t>
  </si>
  <si>
    <t xml:space="preserve">اللوحة الأم لخط ps_/cb_ — cb_ = حساب جملة مباشر عليها (G-1 RESOLVED)</t>
  </si>
  <si>
    <t xml:space="preserve">PremiKey/HitMeow — canboso.com</t>
  </si>
  <si>
    <t xml:space="preserve">canboso.com/api/v2/telegram-buyer (tgb_ · X-API-Key · Binance Pay)</t>
  </si>
  <si>
    <t xml:space="preserve">2026-10-02 ~04:15 +03</t>
  </si>
  <si>
    <t xml:space="preserve">لوحة شقيقة من الحوض الكتالوجي المشترك (550 اسمًا) — قاعدة Mongo مستقلة؛ وسيط cb_/canboso = 0.91</t>
  </si>
  <si>
    <t xml:space="preserve">LahaStore — ver_pixel</t>
  </si>
  <si>
    <t xml:space="preserve">lahastore.up.railway.app/api/v1 (psk_)</t>
  </si>
  <si>
    <t xml:space="preserve">2026-10-02 ~03:45 +03</t>
  </si>
  <si>
    <t xml:space="preserve">مستبعد كمورد cb_ (صفر تطابق) — الأسعار بالدونج الفيتنامي محوّلة للدولار</t>
  </si>
  <si>
    <t xml:space="preserve">AIVerseX — aiversehub.store</t>
  </si>
  <si>
    <t xml:space="preserve">aiversehub.store/api/v1 (AK_)</t>
  </si>
  <si>
    <t xml:space="preserve">مستبعد كمورد cb_ (صفر تطابق من 35 منتجًا)</t>
  </si>
  <si>
    <t xml:space="preserve">Gemini_Shop — واجهة aivaulthub</t>
  </si>
  <si>
    <t xml:space="preserve">reseller.aivaulthub.store/api/v1 (rsk_)</t>
  </si>
  <si>
    <t xml:space="preserve">مستبعد (6 منتجات، صفر تطابق)</t>
  </si>
  <si>
    <t xml:space="preserve">Acczone — Mike_E_0</t>
  </si>
  <si>
    <t xml:space="preserve">بوت تيليجرام (مفتاح مقتطع)</t>
  </si>
  <si>
    <t xml:space="preserve">مستبعد (4 منتجات، صفر تطابق) — الكتالوج مصغّر</t>
  </si>
  <si>
    <t xml:space="preserve">DigitalCore — DCoreStoreBot</t>
  </si>
  <si>
    <t xml:space="preserve">digitalcore.top/api/user (UUID Api-Key)</t>
  </si>
  <si>
    <t xml:space="preserve">مورد جملة API موثق (تدرجات كمية +12-47%) — مستبعد كهوية cb_</t>
  </si>
  <si>
    <t xml:space="preserve">AIXpress — aixpress.shop</t>
  </si>
  <si>
    <t xml:space="preserve">aixpress.shop/api/v1 (AK_ — نشر فعلي؛ وثائق البوت متقادمة)</t>
  </si>
  <si>
    <t xml:space="preserve">2026-10-02 ~04:19 +03</t>
  </si>
  <si>
    <t xml:space="preserve">خامِل: منتجان فقط، مخزون 0، رصيد $0 — نفس صندوق AIVerseX (188.166.90.19)</t>
  </si>
  <si>
    <t xml:space="preserve">RichAIStore — cgpt-active.pro</t>
  </si>
  <si>
    <t xml:space="preserve">cgpt-active.pro/telegram/api/v1 (Bearer rsk_ · Reseller API v1.0.0)</t>
  </si>
  <si>
    <t xml:space="preserve">منصة CDK كاملة التوثيق (12 نقطة نهاية + تذاكر) — مستبعدة (صفر تطابق مع cb_)</t>
  </si>
  <si>
    <t xml:space="preserve">بوابة teamsoclo (نماذج API)</t>
  </si>
  <si>
    <t xml:space="preserve">gpt.teamsoclo.site/api/pricing (Team Sóc Lọ 🇻🇳)</t>
  </si>
  <si>
    <t xml:space="preserve">2026-10-02 02:49 +03</t>
  </si>
  <si>
    <t xml:space="preserve">بوابة الجملة العليا المترابطة مع cb_ (Team Sóc Lọ)</t>
  </si>
  <si>
    <t xml:space="preserve">الإجمالي — سجلات المنتجات (11 كتالوجًا)</t>
  </si>
  <si>
    <t xml:space="preserve">المصدر الموحد: research/sv_master_catalog_consolidated_20261002.json · الإصدار المرجعي: PMRF v1.4</t>
  </si>
  <si>
    <t xml:space="preserve">LahaStore prices in VND converted at 25945 VND/USD (canboso usdRate, 2026-10-02)</t>
  </si>
  <si>
    <t xml:space="preserve">أرشيف StackVault يتضمن costPrice المسرب (أُغلق لاحقًا) — الهوامش: وسيط +20.1% · نطاق +15% إلى +154.3%</t>
  </si>
  <si>
    <t xml:space="preserve">المستبعد كهوية cb_ (صفر تطابق): laha · aivx · gshop · acczone · dcore · aixpress · richai · canboso (قاعدة منفصلة)</t>
  </si>
  <si>
    <t xml:space="preserve">المتبقي المفتوح: G-7 شراء اختباري (الهوية القانونية لمشغّل cb_) — كل مفاتيح Ahmed تعمل لحساب TG 7334478984</t>
  </si>
  <si>
    <t xml:space="preserve">StackVault — الكتالوج الحي (282 منتجًا · سحب 2026-10-02)</t>
  </si>
  <si>
    <t xml:space="preserve">المعرف</t>
  </si>
  <si>
    <t xml:space="preserve">المنتج</t>
  </si>
  <si>
    <t xml:space="preserve">الفئة</t>
  </si>
  <si>
    <t xml:space="preserve">البادئة</t>
  </si>
  <si>
    <t xml:space="preserve">السعر $</t>
  </si>
  <si>
    <t xml:space="preserve">المخزون</t>
  </si>
  <si>
    <t xml:space="preserve">متوفر</t>
  </si>
  <si>
    <t xml:space="preserve">مقتطف الوصف</t>
  </si>
  <si>
    <t xml:space="preserve">dummy-free-test</t>
  </si>
  <si>
    <t xml:space="preserve">Free Test Key</t>
  </si>
  <si>
    <t xml:space="preserve">Digital Services</t>
  </si>
  <si>
    <t xml:space="preserve">other</t>
  </si>
  <si>
    <t xml:space="preserve">نعم</t>
  </si>
  <si>
    <t xml:space="preserve">A free dummy product to test the purchasing flow without spending balance.</t>
  </si>
  <si>
    <t xml:space="preserve">cb_6abb2c37a3c899e94310692c</t>
  </si>
  <si>
    <t xml:space="preserve">🎨 ChatGPT Go 1 Month (10-Day Warranty)</t>
  </si>
  <si>
    <t xml:space="preserve">ChatGPT</t>
  </si>
  <si>
    <t xml:space="preserve">cb</t>
  </si>
  <si>
    <t xml:space="preserve">Format: Email|Password|2FA 📌 Instructions to get 2FA OTP 1️⃣ Visit website: 2FA.LIVE 2️⃣ Copy the 2FA Secret provided in the product file. 3…</t>
  </si>
  <si>
    <t xml:space="preserve">cb_6abdef24da57cd63e0e4b8af</t>
  </si>
  <si>
    <t xml:space="preserve">🎨 ChatGPT Plus 1 Month 3D warranty</t>
  </si>
  <si>
    <t xml:space="preserve">🔐 Private account — can freely change Password &amp; 2FA 📂 Format: Email | Password | 2FA ✅ 30-day warranty for lost package or downgraded packa…</t>
  </si>
  <si>
    <t xml:space="preserve">cb_6abb80a5dcfd14a98e56ef16</t>
  </si>
  <si>
    <t xml:space="preserve">🎨 ChatGPT Plus 1 Month full warranty</t>
  </si>
  <si>
    <t xml:space="preserve">cb_6abd0ed27e196463ea3a567f</t>
  </si>
  <si>
    <t xml:space="preserve">لا</t>
  </si>
  <si>
    <t xml:space="preserve">🔐 Private account — can freely change Pass &amp; 2FA 📂 Format: Email | Pass | 2FA ✅ 30-day warranty for lost package or downgrade ⚠️ NOTE: 1. Co…</t>
  </si>
  <si>
    <t xml:space="preserve">cb_6ab9042f266735c89776a297</t>
  </si>
  <si>
    <t xml:space="preserve">🤖 ChatGPT Plus 30 Days (GGPay)</t>
  </si>
  <si>
    <t xml:space="preserve">🔐 Private account — can freely change Pass &amp; 2FA 📂 Format: Email | Pass | 2FA ✅ Account has been checked for Pass &amp; 2FA before selling. ⚠️ N…</t>
  </si>
  <si>
    <t xml:space="preserve">cb_6ab0a59af6d40479fdc3fe64</t>
  </si>
  <si>
    <t xml:space="preserve">🎨 ChatGPT PRO X5 1 month - 7 Days warranty</t>
  </si>
  <si>
    <t xml:space="preserve">- Ordered items, return orders within 48H - Pay INAPP items super strong</t>
  </si>
  <si>
    <t xml:space="preserve">cb_6ab7d2db0f9ff38abc2fc24d</t>
  </si>
  <si>
    <t xml:space="preserve">🎨 ChatGPT Ver Students Plus 4 Months without warranty</t>
  </si>
  <si>
    <t xml:space="preserve">🎓 Pre-verified STUDENT account — Not paid 🔗 Check at: https://chatgpt.com/students/2026 ⚠️ No warranty for payment. Check done = no warranty…</t>
  </si>
  <si>
    <t xml:space="preserve">cb_6ab7ed4378e9610e9e36d783</t>
  </si>
  <si>
    <t xml:space="preserve">GPT Plus Level 4, 24H warranty</t>
  </si>
  <si>
    <t xml:space="preserve">cb_6ab9647a266735c89784e6b4</t>
  </si>
  <si>
    <t xml:space="preserve">🎨 Shared ChatGPT account with a full 1-month warranty</t>
  </si>
  <si>
    <t xml:space="preserve">✅ This is a business SLOT account, renewable monthly 👥 Pre-assigned account — 1 account/1 device / 3 users 🛡️ Only package warranty, no warr…</t>
  </si>
  <si>
    <t xml:space="preserve">cb_6abc82ed17aa4c8f035618c1</t>
  </si>
  <si>
    <t xml:space="preserve">🎨 Slot GPT Business can be extended by 1 month with full warranty</t>
  </si>
  <si>
    <t xml:space="preserve">Can be extended! Warranty conditions • The Seat can only be used for legal purposes and must fully comply with OpenAI's policies and regulat…</t>
  </si>
  <si>
    <t xml:space="preserve">cb_6ab3f5f90944def028bf1fe7</t>
  </si>
  <si>
    <t xml:space="preserve">🤖 1B Credit API Codex 14 Days - full warranty</t>
  </si>
  <si>
    <t xml:space="preserve">API Codex</t>
  </si>
  <si>
    <t xml:space="preserve">Base URL: https://gpt.teamsoclo.site/v1 Model: gpt-5.6-sol, gpt-6-sol, gpt-6.1-sol, gpt-6-luna User Manual: https://docs.teamsoclo.site/ Vid…</t>
  </si>
  <si>
    <t xml:space="preserve">cb_6aacd09c5271203cb12b5525</t>
  </si>
  <si>
    <t xml:space="preserve">🤖 1B Credit API Codex 2 Days - full warranty</t>
  </si>
  <si>
    <t xml:space="preserve">cb_6aaccf715271203cb12b2504</t>
  </si>
  <si>
    <t xml:space="preserve">🤖 100M Credit API Codex 1 Day - full warranty</t>
  </si>
  <si>
    <t xml:space="preserve">cb_6aaccf7f5271203cb12b2724</t>
  </si>
  <si>
    <t xml:space="preserve">🤖 100M Credit API Codex 5 Days - full warranty</t>
  </si>
  <si>
    <t xml:space="preserve">cb_6aaccf2e5271203cb12b18d2</t>
  </si>
  <si>
    <t xml:space="preserve">🤖 10M Credit API Codex 1 Day - full warranty</t>
  </si>
  <si>
    <t xml:space="preserve">cb_6aafeff086b4242014b9880a</t>
  </si>
  <si>
    <t xml:space="preserve">🤖 10M Credit API Codex 2 Days - full warranty</t>
  </si>
  <si>
    <t xml:space="preserve">cb_6aaccfc75271203cb12b3336</t>
  </si>
  <si>
    <t xml:space="preserve">🤖 200M Credit API Codex 1 Day - full warranty</t>
  </si>
  <si>
    <t xml:space="preserve">cb_6aaccfe95271203cb12b38b6</t>
  </si>
  <si>
    <t xml:space="preserve">🤖 200M Credit API Codex 5 Days - full warranty</t>
  </si>
  <si>
    <t xml:space="preserve">cb_6aaccf435271203cb12b1bd3</t>
  </si>
  <si>
    <t xml:space="preserve">🤖 20M Credit API Codex 1 Day - full warranty</t>
  </si>
  <si>
    <t xml:space="preserve">cb_6aafeffb86b4242014b989ee</t>
  </si>
  <si>
    <t xml:space="preserve">🤖 20M Credit API Codex 2 Days - full warranty</t>
  </si>
  <si>
    <t xml:space="preserve">cb_6aaccffd5271203cb12b3bba</t>
  </si>
  <si>
    <t xml:space="preserve">🤖 500M Credit API Codex 1 Day - full warranty</t>
  </si>
  <si>
    <t xml:space="preserve">cb_6aacd0195271203cb12b4194</t>
  </si>
  <si>
    <t xml:space="preserve">🤖 500M Credit API Codex 3 Days - full warranty</t>
  </si>
  <si>
    <t xml:space="preserve">cb_6aaccf535271203cb12b1f8d</t>
  </si>
  <si>
    <t xml:space="preserve">🤖 50M Credit API Codex 1 Day - full warranty</t>
  </si>
  <si>
    <t xml:space="preserve">cb_6aaff00486b4242014b98b93</t>
  </si>
  <si>
    <t xml:space="preserve">🤖 50M Credit API Codex 2 Days - full warranty</t>
  </si>
  <si>
    <t xml:space="preserve">cb_6ab6b4aea85f2774f238e9e3</t>
  </si>
  <si>
    <t xml:space="preserve">🤖 ChatGPT Free has phone version Codex 1 month - no warranty</t>
  </si>
  <si>
    <t xml:space="preserve">📌Status: Free account with Phone already 100% verified, long-lasting, clean. - Supported Models: Runs smoothly Terra 5.6 &amp; Luna 5.6 (Note: S…</t>
  </si>
  <si>
    <t xml:space="preserve">cb_6ab68a99a85f2774f231b766</t>
  </si>
  <si>
    <t xml:space="preserve">🤖 [Astra] API 1B Token Codex 5 Days - full warranty</t>
  </si>
  <si>
    <t xml:space="preserve">Base URL: https://gpt.teamsoclo.site/v1 Model: gpt-astra User Guide: https://docs.teamsoclo.site/ Video: https://tinyurl.com/teamsoclovid Ke…</t>
  </si>
  <si>
    <t xml:space="preserve">cb_6ab68a8da85f2774f231b4dc</t>
  </si>
  <si>
    <t xml:space="preserve">🤖 [Astra] API 100M Token Codex 5 days - full warranty</t>
  </si>
  <si>
    <t xml:space="preserve">cb_6ab689f9a85f2774f2319ed2</t>
  </si>
  <si>
    <t xml:space="preserve">🤖 [Astra] API 10M Token Codex 1 Day - full warranty</t>
  </si>
  <si>
    <t xml:space="preserve">10M Credit Codex Package / 1 day Astra Base URL: https://gpt.teamsoclo.site/v1 Model: gpt-astra User Guide: https://docs.teamsoclo.site/ Vid…</t>
  </si>
  <si>
    <t xml:space="preserve">cb_6ab68a71a85f2774f231b171</t>
  </si>
  <si>
    <t xml:space="preserve">🤖 [Astra] API 200M Token Codex 5 Days - full warranty</t>
  </si>
  <si>
    <t xml:space="preserve">cb_6ab68a04a85f2774f231a046</t>
  </si>
  <si>
    <t xml:space="preserve">🤖 [Astra] API 20M Token Codex 1 Day - full warranty</t>
  </si>
  <si>
    <t xml:space="preserve">[Astra] API 20M Token Codex 1 Day - full warranty Base URL: https://gpt.teamsoclo.site/v1 Model: gpt-astra User Guide: https://docs.teamsocl…</t>
  </si>
  <si>
    <t xml:space="preserve">cb_6ab68a62a85f2774f231af88</t>
  </si>
  <si>
    <t xml:space="preserve">🤖 [Astra] API 500M Token Codex 5 Days - full warranty</t>
  </si>
  <si>
    <t xml:space="preserve">cb_6ab68a12a85f2774f231a207</t>
  </si>
  <si>
    <t xml:space="preserve">🤖 [Astra] API 50M Token Codex 3 Days - full warranty</t>
  </si>
  <si>
    <t xml:space="preserve">cb_6a90505c184cbca61b6b3925</t>
  </si>
  <si>
    <t xml:space="preserve">🤶 VIP. API 15M Token Claude 1 Day - full warranty</t>
  </si>
  <si>
    <t xml:space="preserve">Claude</t>
  </si>
  <si>
    <t xml:space="preserve">💎 Claude VIP High Stable API — model extracted from Cursor Ultra, used for Claude Code and apps supporting OpenAI/Anthropic. ⚡ Includes high…</t>
  </si>
  <si>
    <t xml:space="preserve">cb_6a9050e4184cbca61b6b49d9</t>
  </si>
  <si>
    <t xml:space="preserve">🤶 VIP. API 40M Token Claude 1 Day - full warranty</t>
  </si>
  <si>
    <t xml:space="preserve">cb_6ab39f980944def028b09eac</t>
  </si>
  <si>
    <t xml:space="preserve">❓ Upgrade Perplexity max 14K credits for 1 month under the official account - no warranty</t>
  </si>
  <si>
    <t xml:space="preserve">Perplexity AI</t>
  </si>
  <si>
    <t xml:space="preserve">🛒 HOW TO PLACE AN ORDER ⏱️ Completed within 6 hours (possibly sooner), counted during working hours 9 AM–11 PM. Saturday &amp; Sunday may be slo…</t>
  </si>
  <si>
    <t xml:space="preserve">cb_6aacd9875271203cb12d2ead</t>
  </si>
  <si>
    <t xml:space="preserve">🔥CDK Perplexity Pro (iOS) 1 month - full warranty</t>
  </si>
  <si>
    <t xml:space="preserve">🚀 PERPLEXITY PRO – 1 MONTH | ACTIVATION CDK 📌 INFORMATION • Activate Perplexity Pro for 1 month on the main account. • No need to provide Em…</t>
  </si>
  <si>
    <t xml:space="preserve">ps_6a2fda51035a6d898f2106fe</t>
  </si>
  <si>
    <t xml:space="preserve">🎨 Capcut Pro 1 Month FW</t>
  </si>
  <si>
    <t xml:space="preserve">CapCut PRO</t>
  </si>
  <si>
    <t xml:space="preserve">ps</t>
  </si>
  <si>
    <t xml:space="preserve">-Full 30 days private Pro Team account . -Maximum 2 devices , with full warranty . -Stable Account full 30 days (no 7days renew ). -Login to…</t>
  </si>
  <si>
    <t xml:space="preserve">ps_6aa4551bc76bc3aeb2ebe88e</t>
  </si>
  <si>
    <t xml:space="preserve">🎨 CAPCUT PRO 1600 CREDITS</t>
  </si>
  <si>
    <t xml:space="preserve">CAPCUT PRO 1Month 1,600 CREDITS Full Warranty</t>
  </si>
  <si>
    <t xml:space="preserve">cb_6aa2ed63553547f0f1081cb0</t>
  </si>
  <si>
    <t xml:space="preserve">🎨 Capcut Pro 5-7 Days - full warranty</t>
  </si>
  <si>
    <t xml:space="preserve">📌 Account format: Email | Password 🔐 LOGIN INSTRUCTIONS • Phone: Open the CapCut app → select Sign in with Email → log in with the provided …</t>
  </si>
  <si>
    <t xml:space="preserve">ps_6ab4064f67d72e6ef6369597</t>
  </si>
  <si>
    <t xml:space="preserve">🎨 Capcut pro 6 days FW</t>
  </si>
  <si>
    <t xml:space="preserve">Capcut pro 6 days Full Warranty</t>
  </si>
  <si>
    <t xml:space="preserve">ps_6a7e3ab79c0c1126fff286f0</t>
  </si>
  <si>
    <t xml:space="preserve">🎨 CAPCUT PRO 6 MONTHS</t>
  </si>
  <si>
    <t xml:space="preserve">Private account for 6 months . 3 months Backfree Warranry . Very very stable account.</t>
  </si>
  <si>
    <t xml:space="preserve">cb_6ab9f99231a482e3ae149a32</t>
  </si>
  <si>
    <t xml:space="preserve">🎨 Capcut Pro 7 Days - no warranty</t>
  </si>
  <si>
    <t xml:space="preserve">- Capcut PRO - Random date - Log 1 phone + 1 PC</t>
  </si>
  <si>
    <t xml:space="preserve">ps_6a4bf6b502999800df9660b1</t>
  </si>
  <si>
    <t xml:space="preserve">🎨 Capcut Pro 7D FW</t>
  </si>
  <si>
    <t xml:space="preserve">Premium digital product with instant delivery.</t>
  </si>
  <si>
    <t xml:space="preserve">cb_6aacd3115271203cb12bdabd</t>
  </si>
  <si>
    <t xml:space="preserve">🖱️ API Cursor Pro 2600 Credits 1 month full warranty</t>
  </si>
  <si>
    <t xml:space="preserve">Cursor AI</t>
  </si>
  <si>
    <t xml:space="preserve">Api Cursor Pro 2600 credits with a 1-month expiration. -Credit: 2600 -Expiration: 1 month from the time the Key is activated. -Warranty: 30 …</t>
  </si>
  <si>
    <t xml:space="preserve">cb_6aacd3255271203cb12bdd46</t>
  </si>
  <si>
    <t xml:space="preserve">🖱️ API Cursor Pro 400 Credits/day 1 month full warranty</t>
  </si>
  <si>
    <t xml:space="preserve">Api Cursor Pro valid for 1 month. -Credit: 400 credits/day - 1 month has 12,000 credits -Validity: 1 month from the moment the Key is activa…</t>
  </si>
  <si>
    <t xml:space="preserve">cb_6aacd32d5271203cb12bdef8</t>
  </si>
  <si>
    <t xml:space="preserve">🖱️ API Cursor Pro 6500 Credits 1 month full warranty</t>
  </si>
  <si>
    <t xml:space="preserve">Api Cursor Pro 6500 credit with a 1-month validity period. -Credit: 6500 -Validity: 1 month from the moment the Key is activated. -Warranty:…</t>
  </si>
  <si>
    <t xml:space="preserve">mr_replit-1y</t>
  </si>
  <si>
    <t xml:space="preserve">💻 Replit Core 11M Account</t>
  </si>
  <si>
    <t xml:space="preserve">Replit Core</t>
  </si>
  <si>
    <t xml:space="preserve">mr</t>
  </si>
  <si>
    <t xml:space="preserve">⚡️ This is replit 1 Year Paid account ⚡️ You get Replit Core around 11 month in this ⚡️ Creds format: Email:Pass:AutoLogin Outlook ⚡️ Credit…</t>
  </si>
  <si>
    <t xml:space="preserve">cb_6ab7f10278e9610e9e37624a</t>
  </si>
  <si>
    <t xml:space="preserve">⭐ Code Lovable Lite 1 year no warranty</t>
  </si>
  <si>
    <t xml:space="preserve">Lovable AI</t>
  </si>
  <si>
    <t xml:space="preserve">cb_6a9035c56eb0bce04059885d</t>
  </si>
  <si>
    <t xml:space="preserve">⭐ Lovable Lite 12 months - no warranty</t>
  </si>
  <si>
    <t xml:space="preserve">Initial credit: Receive 300 credits to use once to start building projectsn.Credit. Daily: Receive an additional 5 free credits each day to …</t>
  </si>
  <si>
    <t xml:space="preserve">cb_6aaedbfb86b4242014994778</t>
  </si>
  <si>
    <t xml:space="preserve">⭐ Lovable Pro 1 month warranty 20D</t>
  </si>
  <si>
    <t xml:space="preserve">Lovable Pro has 110 credits, adding 5 credits each day</t>
  </si>
  <si>
    <t xml:space="preserve">cb_6aacd7005271203cb12cb580</t>
  </si>
  <si>
    <t xml:space="preserve">⭐ Lovable PRO 110 credit - 1 month - 25-day warranty</t>
  </si>
  <si>
    <t xml:space="preserve">Package: Lovable PRO - 1 month Includes 110 credits + 5 credits per day 25-day warranty</t>
  </si>
  <si>
    <t xml:space="preserve">cb_6ab68ed0a85f2774f2326a64</t>
  </si>
  <si>
    <t xml:space="preserve">⭐ Lovable PRO 110 credit 15 days - 10D warranty</t>
  </si>
  <si>
    <t xml:space="preserve">Package: Lovable PRO - 15 Days of use (valid from 15/9 - 15/10) Includes 110 credits + 5 credits per day 10-day warranty</t>
  </si>
  <si>
    <t xml:space="preserve">mr_lovable-pro-lite-account</t>
  </si>
  <si>
    <t xml:space="preserve">⭐ Lovable Pro Lite Account 12m</t>
  </si>
  <si>
    <t xml:space="preserve">🎁 1 Year Access + 300 Bonus Credits Included 📌 Full Pro Lite Access for 12 Months ✨ All Pro Features Unlocked 💳 5 Daily Bonus Credits (Reset…</t>
  </si>
  <si>
    <t xml:space="preserve">cb_6aacd70f5271203cb12cb7f2</t>
  </si>
  <si>
    <t xml:space="preserve">⚡️Lovable Lite slot 1 year warranty 3 months</t>
  </si>
  <si>
    <t xml:space="preserve">Please send an email to the bot to upgrade to the main account without needing a password. If you need a level account but don't want the ma…</t>
  </si>
  <si>
    <t xml:space="preserve">cb_6aaff33086b4242014ba2470</t>
  </si>
  <si>
    <t xml:space="preserve">⭐ gamma 10k credit bonus 10k 10 years warranty 3 months</t>
  </si>
  <si>
    <t xml:space="preserve">Gamma AI</t>
  </si>
  <si>
    <t xml:space="preserve">Account provided includes email | password | empty field Each account has 5 workspaces, each workspace has 2k credits to create presentation…</t>
  </si>
  <si>
    <t xml:space="preserve">cb_6aaff33686b4242014ba2616</t>
  </si>
  <si>
    <t xml:space="preserve">⭐ gamma 20k credit bonus 20k 10 years warranty 3 months</t>
  </si>
  <si>
    <t xml:space="preserve">Provide account including email | password | empty field Each account includes 10 workspaces, each workspace has 2k credits to create presen…</t>
  </si>
  <si>
    <t xml:space="preserve">cb_6aaff34186b4242014ba28c3</t>
  </si>
  <si>
    <t xml:space="preserve">⭐ gamma 40k credit bonus 40k 10 years warranty 3 months</t>
  </si>
  <si>
    <t xml:space="preserve">Description: account includes email | password | empty field each account has 20 workspaces, each workspace has 2k credits to create present…</t>
  </si>
  <si>
    <t xml:space="preserve">cb_6aacd50b5271203cb12c6596</t>
  </si>
  <si>
    <t xml:space="preserve">⭐ Gamma Plus 30D - full warranty</t>
  </si>
  <si>
    <t xml:space="preserve">Gamma Plus 1 month - full warranty Format: Email | Password If you want to upgrade your personal account, provide your account information t…</t>
  </si>
  <si>
    <t xml:space="preserve">cb_6aacd5135271203cb12c66ba</t>
  </si>
  <si>
    <t xml:space="preserve">⭐ Gamma PRO 30D - full warranty</t>
  </si>
  <si>
    <t xml:space="preserve">Gamma PRO 1 month - full warranty Format: Email | Pass If you want to upgrade your personal account, provide your account information to the…</t>
  </si>
  <si>
    <t xml:space="preserve">cb_6aacd5ae5271203cb12c7e78</t>
  </si>
  <si>
    <t xml:space="preserve">📦 Code Redeem 100$ GCP (Google Cloud Platform)</t>
  </si>
  <si>
    <t xml:space="preserve">Google &amp; Gemini</t>
  </si>
  <si>
    <t xml:space="preserve">mr_coursera-premium-12m</t>
  </si>
  <si>
    <t xml:space="preserve">Coursera Premium 12m</t>
  </si>
  <si>
    <t xml:space="preserve">⚡ This Org+ Premium Access ⚡ All Courses &amp;amp; Certificates are free under it in my purhcases u will see nothing ⚡ Certificate in Your Own N…</t>
  </si>
  <si>
    <t xml:space="preserve">ps_6a31035939dc014325da2c66</t>
  </si>
  <si>
    <t xml:space="preserve">🌐 Gemini Pro 18 Months (Activation Link)</t>
  </si>
  <si>
    <t xml:space="preserve">Google Storage 5 TB Subscription 18 Month -No VPN or CC required for activation ! just click to activate and Dooooomm !!! - Activation Link …</t>
  </si>
  <si>
    <t xml:space="preserve">cb_6aaff5f386b4242014bac656</t>
  </si>
  <si>
    <t xml:space="preserve">😶‍🌫️ ADMIN MS365 PREMIUM 1TB 5 SLOTS 1 YEAR full warranty</t>
  </si>
  <si>
    <t xml:space="preserve">Microsoft &amp; Windows 🥸</t>
  </si>
  <si>
    <t xml:space="preserve">Instructions: Office family trial for 12 months, renewing once every month. We already have a tool to automatically renew. If you add a cust…</t>
  </si>
  <si>
    <t xml:space="preserve">cb_6aacd7a65271203cb12cd171</t>
  </si>
  <si>
    <t xml:space="preserve">📩 Hotmail, Outlook have student version (MS 365 edu)</t>
  </si>
  <si>
    <t xml:space="preserve">Mail | Pass The items have been verified for edu, need to activate the package</t>
  </si>
  <si>
    <t xml:space="preserve">cb_6aacd79a5271203cb12cceca</t>
  </si>
  <si>
    <t xml:space="preserve">😶‍🌫️ Microsoft 365 Admin Family 1 Month full warranty</t>
  </si>
  <si>
    <t xml:space="preserve">Office 365 Admin Family 1 Month, can add 5 more members to the Family Format: Email|Pass|Token</t>
  </si>
  <si>
    <t xml:space="preserve">cb_6aacd7a15271203cb12cd054</t>
  </si>
  <si>
    <t xml:space="preserve">😶‍🌫️ Microsoft 365 Admin Premium 1 Month full warranty</t>
  </si>
  <si>
    <t xml:space="preserve">Microsoft 365 Admin Premium 1 Month full warranty, including all features of Microsoft 365 Family, can add 5 more members to the Family Form…</t>
  </si>
  <si>
    <t xml:space="preserve">cb_6aacd7ad5271203cb12cd2ca</t>
  </si>
  <si>
    <t xml:space="preserve">😶‍🌫️ Microsoft 365 Personal 1 year warranty 3 months</t>
  </si>
  <si>
    <t xml:space="preserve">🔥 Pre-provided account. Password automatically updates on first login. Microsoft 365 can be used on 5 devices - 1 year. Download and log in …</t>
  </si>
  <si>
    <t xml:space="preserve">cb_6aacd7ed5271203cb12cdaac</t>
  </si>
  <si>
    <t xml:space="preserve">😶‍🌫️ Microsoft Copilot 1 Month full warranty</t>
  </si>
  <si>
    <t xml:space="preserve">- Microsoft Copilot Pro, not Github Copilot so everyone should pay attention - Email | pass format</t>
  </si>
  <si>
    <t xml:space="preserve">cb_6ab38ed80944def028ad93b1</t>
  </si>
  <si>
    <t xml:space="preserve">😶‍🌫️ Microsoft Office 365 - 2 Years full warranty</t>
  </si>
  <si>
    <t xml:space="preserve">Pre-provided account: Email | Pass Install &amp; use simultaneously on up to 5 devices (Windows, MacOS, iOS, iPadOS, Android) Includes full apps…</t>
  </si>
  <si>
    <t xml:space="preserve">ps_6a2fe23a1c8697b163aedcbd</t>
  </si>
  <si>
    <t xml:space="preserve">😶‍🌫️ Microsoft Office 365 Plus 1 year</t>
  </si>
  <si>
    <t xml:space="preserve">Microsoft Office 365 Plus – 1 Month + 11 Months (GIFT) Subscription What's Included: • Microsoft Word • Microsoft Excel • Microsoft PowerPoi…</t>
  </si>
  <si>
    <t xml:space="preserve">cb_6aacd8005271203cb12cdd91</t>
  </si>
  <si>
    <t xml:space="preserve">😶‍🌫️ MICROSOFT OFFICE 365 PREMIUM 12-MONTH SLOT full warranty</t>
  </si>
  <si>
    <t xml:space="preserve">Microsoft Office 365 Slot + 1TB OneDrive 1-year full warranty Upgrade only requires an email, 1 email can be used on 5 devices at the same t…</t>
  </si>
  <si>
    <t xml:space="preserve">cb_6aacd7f65271203cb12cdc26</t>
  </si>
  <si>
    <t xml:space="preserve">😶‍🌫️ MICROSOFT OFFICE 365 PREMIUM SLOT 5 MONTHS full warranty</t>
  </si>
  <si>
    <t xml:space="preserve">Microsoft Office 365 Slot + 1TB OneDrive, 6-month full warranty Upgrade with just an email, 1 email can be used on 5 devices simultaneously …</t>
  </si>
  <si>
    <t xml:space="preserve">mr_ms-offcie-365</t>
  </si>
  <si>
    <t xml:space="preserve">😶‍🌫️ MS Office 365 Plus 12M</t>
  </si>
  <si>
    <t xml:space="preserve">📦 Included Apps: Word · Excel · PowerPoint · OneNote · Forms 🏢 This is an Organization Account have limited features Works on 🪟 Windows · 🍎 …</t>
  </si>
  <si>
    <t xml:space="preserve">cb_6a9ff382b0f7cc5080131ea8</t>
  </si>
  <si>
    <t xml:space="preserve">😶‍🌫️ Office 365 Admin Family 1 Month full warranty</t>
  </si>
  <si>
    <t xml:space="preserve">Office 365 Admin Family 1 Month, can add up to 5 more members to the Family Format: Email|Pass</t>
  </si>
  <si>
    <t xml:space="preserve">cb_6ab3cd8f0944def028b821c6</t>
  </si>
  <si>
    <t xml:space="preserve">📺 CHEAP YOUTUBE PREMIUM SLOT 3 MONTHS full warranty</t>
  </si>
  <si>
    <t xml:space="preserve">YouTube Premium</t>
  </si>
  <si>
    <t xml:space="preserve">- ADD SLOT to the monthly family plan - Every month, an email notification will be sent to the new family group. - During the process of cha…</t>
  </si>
  <si>
    <t xml:space="preserve">cb_6ab3cda40944def028b82961</t>
  </si>
  <si>
    <t xml:space="preserve">📺 CHEAP YOUTUBE PREMIUM SLOT 6 MONTHS full warranty</t>
  </si>
  <si>
    <t xml:space="preserve">cb_6ab7ef1578e9610e9e371b86</t>
  </si>
  <si>
    <t xml:space="preserve">📺 Gmail Random IP 2010-2016 has passed YouTube trial</t>
  </si>
  <si>
    <t xml:space="preserve">Format username|pass|recovery code|2FA Customers retrieving emails, please secure your own account to avoid unnecessary issues 24-hour warra…</t>
  </si>
  <si>
    <t xml:space="preserve">cb_6abbc696dcfd14a98e643c31</t>
  </si>
  <si>
    <t xml:space="preserve">📺 Gmail Random IP 2010-2016 trial YouTube</t>
  </si>
  <si>
    <t xml:space="preserve">Format username|pass|security answer Customers receiving the email please secure your account to avoid unnecessary issues. Emails that still…</t>
  </si>
  <si>
    <t xml:space="preserve">cb_6abbc68adcfd14a98e64370a</t>
  </si>
  <si>
    <t xml:space="preserve">📺 Gmail Random IP 2020-2023 trial YouTube</t>
  </si>
  <si>
    <t xml:space="preserve">Username|pass|mkp format Customers who retrieve mail should secure their accounts themselves to avoid unnecessary issues 24-hour warranty, l…</t>
  </si>
  <si>
    <t xml:space="preserve">mr_youtube-premium-3m</t>
  </si>
  <si>
    <t xml:space="preserve">📺 Youtube Premium 3M</t>
  </si>
  <si>
    <t xml:space="preserve">• Plan: 3-Month Premium Individual ⚠️ Requirement: Account must be eligible for the YouTube free trial 📋 &lt;b&gt;Activation &amp; Instructions:&lt;/b&gt; S…</t>
  </si>
  <si>
    <t xml:space="preserve">cb_6ab68c9aa85f2774f232114b</t>
  </si>
  <si>
    <t xml:space="preserve">🎙️ Elevenlab Creator 1 month 3D warranty</t>
  </si>
  <si>
    <t xml:space="preserve">ElevenLabs</t>
  </si>
  <si>
    <t xml:space="preserve">mail|pass mail|pas11lab</t>
  </si>
  <si>
    <t xml:space="preserve">cb_6ab51740675d4138eb8764a5</t>
  </si>
  <si>
    <t xml:space="preserve">🔥ElevenLabs Redeem 1M Credit</t>
  </si>
  <si>
    <t xml:space="preserve">🔥Vibi.Pro vibi.pro is an online AI voice generation tool and an official partner of ElevenLabs &amp; MiniMax. 💎 VIBI'S COMMITMENT TO YOU ✅ Offic…</t>
  </si>
  <si>
    <t xml:space="preserve">cb_6ab51747675d4138eb8765ac</t>
  </si>
  <si>
    <t xml:space="preserve">🔥ElevenLabs Redeem 300K Credit</t>
  </si>
  <si>
    <t xml:space="preserve">mr_wisperflow</t>
  </si>
  <si>
    <t xml:space="preserve">🤩 Wisper Flow 12M Student Plan</t>
  </si>
  <si>
    <t xml:space="preserve">Wispr Flow</t>
  </si>
  <si>
    <t xml:space="preserve">✅OFFICIAL Student Subscription of Wipr Flow ✅ Email:Pass Given 📋 &lt;b&gt;Activation &amp; Instructions:&lt;/b&gt; Mail Access is not possible but account i…</t>
  </si>
  <si>
    <t xml:space="preserve">ps_6abeb3210dbb401865ffe95f</t>
  </si>
  <si>
    <t xml:space="preserve">🤩 Wispr Flow 12M Edu</t>
  </si>
  <si>
    <t xml:space="preserve">🔥 Subscription Features (Student Plan): 🔥 ✅ Unlimited word count: Speak and write freely without restrictions; works across all your devices…</t>
  </si>
  <si>
    <t xml:space="preserve">mr_wispr-flow-pro</t>
  </si>
  <si>
    <t xml:space="preserve">🤩 Wispr Flow Pro 12M</t>
  </si>
  <si>
    <t xml:space="preserve">⚡ Duration: 12 Month ⚡ Official Coupon Code 🚫 No Warranty After Coupon Activation ⚡ On Your Account ⚠️ Please note that the code must be red…</t>
  </si>
  <si>
    <t xml:space="preserve">cb_6aaed84c86b424201498de26</t>
  </si>
  <si>
    <t xml:space="preserve">💰 105K Decor Discord / Profile Effect Cheap (Login Type) - full warranty</t>
  </si>
  <si>
    <t xml:space="preserve">Discord</t>
  </si>
  <si>
    <t xml:space="preserve">- Supports purchasing all items in the Discord Shop (Avatar Frames, Profile Effects, Nameplates) at prices much lower than buying as Gifts. …</t>
  </si>
  <si>
    <t xml:space="preserve">cb_6aaed84586b424201498dd20</t>
  </si>
  <si>
    <t xml:space="preserve">💰 111K Decor Discord / Profile Effect Cheap (Login Type) - full warranty</t>
  </si>
  <si>
    <t xml:space="preserve">cb_6aaed83986b424201498dc5e</t>
  </si>
  <si>
    <t xml:space="preserve">💰 131K Decor Discord / Profile Effect Cheap (Login Type) - full warranty</t>
  </si>
  <si>
    <t xml:space="preserve">cb_6aaed83486b424201498dbf4</t>
  </si>
  <si>
    <t xml:space="preserve">💰 141K Decor Discord / Profile Effect Cheap (Login Type) - full warranty</t>
  </si>
  <si>
    <t xml:space="preserve">cb_6aaed82d86b424201498da8b</t>
  </si>
  <si>
    <t xml:space="preserve">💰 170K Decor Discord / Profile Effect Cheap (Login Type) - full warranty</t>
  </si>
  <si>
    <t xml:space="preserve">cb_6aaed82586b424201498d98a</t>
  </si>
  <si>
    <t xml:space="preserve">💰 66K Decor Discord / Profile Effect Cheap (Login Type) - full warranty</t>
  </si>
  <si>
    <t xml:space="preserve">cb_6aaed81f86b424201498d914</t>
  </si>
  <si>
    <t xml:space="preserve">💰 79K Decor Discord / Profile Effect Cheap (Login Type) - full warranty</t>
  </si>
  <si>
    <t xml:space="preserve">cb_6aaed81686b424201498d828</t>
  </si>
  <si>
    <t xml:space="preserve">💰 92K Decor Discord / Profile Effect Cheap (Login Type) - full warranty</t>
  </si>
  <si>
    <t xml:space="preserve">cb_6aacd3515271203cb12be616</t>
  </si>
  <si>
    <t xml:space="preserve">Decor is 20% cheaper than the original price if you don't have Nitro (contact admin)</t>
  </si>
  <si>
    <t xml:space="preserve">cb_6aacd3535271203cb12be6a2</t>
  </si>
  <si>
    <t xml:space="preserve">Decor is 25% cheaper than the original price if you have Nitro (contact admin)</t>
  </si>
  <si>
    <t xml:space="preserve">cb_6aaed87e86b424201498e3f2</t>
  </si>
  <si>
    <t xml:space="preserve">💰 Discord Clone Account 2017 no warranty</t>
  </si>
  <si>
    <t xml:space="preserve">- No sticks yet - Can use trial - Format: Username|Password (Mail)|Password (Discord)|MailKP|2fa (Discord) - Get 2fa code at: https://2fa.li…</t>
  </si>
  <si>
    <t xml:space="preserve">cb_6aaed88586b424201498e464</t>
  </si>
  <si>
    <t xml:space="preserve">💰 Discord Clone Account 2018 not warranty</t>
  </si>
  <si>
    <t xml:space="preserve">cb_6aaed88c86b424201498e54d</t>
  </si>
  <si>
    <t xml:space="preserve">💰 Discord Clone Account 2019 not guaranteed</t>
  </si>
  <si>
    <t xml:space="preserve">cb_6aaed89386b424201498e643</t>
  </si>
  <si>
    <t xml:space="preserve">💰 Discord Clone Account 2020 not warranty</t>
  </si>
  <si>
    <t xml:space="preserve">cb_6aacd3585271203cb12be735</t>
  </si>
  <si>
    <t xml:space="preserve">💰 Discord Gifting Badge x1</t>
  </si>
  <si>
    <t xml:space="preserve">Purchase includes decor You must choose 1 decor and available acc with nitro Please send account username and password and 4-5 backup codes …</t>
  </si>
  <si>
    <t xml:space="preserve">cb_6aacd35e5271203cb12be8f7</t>
  </si>
  <si>
    <t xml:space="preserve">💰 Discord Gifting Badge x10</t>
  </si>
  <si>
    <t xml:space="preserve">A deposit of 200k will be partially refunded with 50k after completion) Does not include decor (Do not claim any gift packages in the accoun…</t>
  </si>
  <si>
    <t xml:space="preserve">cb_6aacd3685271203cb12bea4e</t>
  </si>
  <si>
    <t xml:space="preserve">💰 Discord Gifting Badge x20</t>
  </si>
  <si>
    <t xml:space="preserve">A deposit of 400k will be partially refunded 100k after completion) Does not include decor (Do not claim any gift packages in the account on…</t>
  </si>
  <si>
    <t xml:space="preserve">cb_6aaed87186b424201498e2bf</t>
  </si>
  <si>
    <t xml:space="preserve">💰 Discord Nitro 1M Token not guaranteed</t>
  </si>
  <si>
    <t xml:space="preserve">- Format: TK_MK_MAIL-MK_TOKEN 2FA - The token is in the form of a Discord Nitro account with 2 boosts, valid for 27-31 days - DO NOT log in …</t>
  </si>
  <si>
    <t xml:space="preserve">cb_6aacd3835271203cb12bf0f9</t>
  </si>
  <si>
    <t xml:space="preserve">💰 Discord Nitro 1Y full warranty</t>
  </si>
  <si>
    <t xml:space="preserve">Nitro requires login to activate the package. Please send your account password and 4-5 backup codes when purchasing. How to enable 2FA and …</t>
  </si>
  <si>
    <t xml:space="preserve">cb_6aacd3895271203cb12bf27d</t>
  </si>
  <si>
    <t xml:space="preserve">💰 Discord Nitro 2 months full warranty</t>
  </si>
  <si>
    <t xml:space="preserve">cb_6aaed87886b424201498e359</t>
  </si>
  <si>
    <t xml:space="preserve">💰 Discord Nitro 3M Token not guaranteed</t>
  </si>
  <si>
    <t xml:space="preserve">- Format: USERNAME_PASSWORD_EMAIL-MK_TOKEN 2FA - Token is a Nitro Discord account with 2 boosts, valid for 80-90 days - DO NOT log in using …</t>
  </si>
  <si>
    <t xml:space="preserve">cb_6aacd3975271203cb12bf77d</t>
  </si>
  <si>
    <t xml:space="preserve">💰 Discord Nitro Trial 3 months full warranty</t>
  </si>
  <si>
    <t xml:space="preserve">cb_6aacd39b5271203cb12bf8ef</t>
  </si>
  <si>
    <t xml:space="preserve">💰 Discord token 24-hour warranty</t>
  </si>
  <si>
    <t xml:space="preserve">24-hour warranty (warranty expires after successful login) Format: mail|pass|token</t>
  </si>
  <si>
    <t xml:space="preserve">cb_6aacd3715271203cb12bec9c</t>
  </si>
  <si>
    <t xml:space="preserve">Gift Decor 15% cheaper than the original price (IB admin)</t>
  </si>
  <si>
    <t xml:space="preserve">cb_6aacd3a65271203cb12bfc68</t>
  </si>
  <si>
    <t xml:space="preserve">Server Boost x14 [ Level 3 ] 1 Month full warranty</t>
  </si>
  <si>
    <t xml:space="preserve">Send the server link to boost. Our side will upgrade it, so it won't affect the server.</t>
  </si>
  <si>
    <t xml:space="preserve">cb_6aacd3aa5271203cb12bfdac</t>
  </si>
  <si>
    <t xml:space="preserve">Server Boost x2 [ Level 1 ] 1 Month full warranty</t>
  </si>
  <si>
    <t xml:space="preserve">cb_6aacdadc5271203cb12d6ff3</t>
  </si>
  <si>
    <t xml:space="preserve">📱 TikTok 1000FL With Cart-No LiveStudio</t>
  </si>
  <si>
    <t xml:space="preserve">TikTok</t>
  </si>
  <si>
    <t xml:space="preserve">✔️ Self-made, self-grown 100% Vietnamese followers, NOT AFRAID of dropping, 100% clean accounts, never violated ✔️ Channel guaranteed with c…</t>
  </si>
  <si>
    <t xml:space="preserve">cb_6aacdad45271203cb12d6e88</t>
  </si>
  <si>
    <t xml:space="preserve">📱 TikTok 1000FL With Shopping Cart - LiveStudio</t>
  </si>
  <si>
    <t xml:space="preserve">✔️ Our products are newly created and self-maintained, guaranteed 100% clean, no personal information, no PassKey, no FB or GG link will not…</t>
  </si>
  <si>
    <t xml:space="preserve">cb_6aacdaef5271203cb12d74e5</t>
  </si>
  <si>
    <t xml:space="preserve">📱 TikTok &lt; 900FL Has Cart - LiveStudio</t>
  </si>
  <si>
    <t xml:space="preserve">NOTICE – READ CAREFULLY BEFORE PURCHASE ✅ The account already has a SHOPPING CART and Live, LIVE STUDIO ✅ After purchasing, please verify yo…</t>
  </si>
  <si>
    <t xml:space="preserve">cb_6ab51b71675d4138eb881393</t>
  </si>
  <si>
    <t xml:space="preserve">📱 TikTok Germany (DE) - Login Warranty</t>
  </si>
  <si>
    <t xml:space="preserve">Format username|passtiktok|email|password|refresh_token|client_id|cookie - Live Mail Read code via OAuth2 - Warranty Login 1-1</t>
  </si>
  <si>
    <t xml:space="preserve">cb_6aa5589ddf59fbc6fe1b63bf</t>
  </si>
  <si>
    <t xml:space="preserve">📱 Tiktok Open Cart - Has Live (Real FL)</t>
  </si>
  <si>
    <t xml:space="preserve">The TikTok channel has opened the product basket - live broadcast works fine. (Real followers) Warranty for basket - 24H live - Users can ch…</t>
  </si>
  <si>
    <t xml:space="preserve">cb_6aacdaa75271203cb12d6465</t>
  </si>
  <si>
    <t xml:space="preserve">📱 Tiktok Open Cart-Has Live</t>
  </si>
  <si>
    <t xml:space="preserve">The TikTok channel has an open package of accounts - live is fine. 24-hour login warranty - Log in with id and password to get the code at h…</t>
  </si>
  <si>
    <t xml:space="preserve">cb_6aacdab75271203cb12d684e</t>
  </si>
  <si>
    <t xml:space="preserve">📱 TikTok Seller account established for 2-4 years with 7-day warranty</t>
  </si>
  <si>
    <t xml:space="preserve">- Older TikTok Seller accounts (accounts created a long time ago) are less likely to be suspended due to violation links. - Tax verification…</t>
  </si>
  <si>
    <t xml:space="preserve">cb_6ab51b6c675d4138eb881317</t>
  </si>
  <si>
    <t xml:space="preserve">📱 TikTok United Kingdom (UK) - login warranty</t>
  </si>
  <si>
    <t xml:space="preserve">Format username|passtiktok|email|password|refresh_token|client_id|cookie - Mail Live Read code via OAuth2 - 1-1 login warranty (Cookie is no…</t>
  </si>
  <si>
    <t xml:space="preserve">cb_6a8ea96b5bc0bcbeeccd30a6</t>
  </si>
  <si>
    <t xml:space="preserve">📱 TikTok USA (US) 2024</t>
  </si>
  <si>
    <t xml:space="preserve">📝 Description: - Account created in 2024 - Registered using a US IP. - Format: ID|pass|mail|mail pass - Login warranty, wrong password, wron…</t>
  </si>
  <si>
    <t xml:space="preserve">cb_6aacdabf5271203cb12d69a1</t>
  </si>
  <si>
    <t xml:space="preserve">📱 TikTok Vietnam Has Live &amp; Shopping Cart</t>
  </si>
  <si>
    <t xml:space="preserve">-Vietnam TikTok Account -Cart opened, has live -Format: User | Pass | Hotmail -Login warranty 24h - Lifetime back guarantee -Note: Soak IP f…</t>
  </si>
  <si>
    <t xml:space="preserve">cb_6aacdac45271203cb12d6b82</t>
  </si>
  <si>
    <t xml:space="preserve">📱 TiktokVN 1kfl noshop nobuff live Studio</t>
  </si>
  <si>
    <t xml:space="preserve">TIKTOK 1K FOLLOWERS WITHOUT BOOST, WITH REAL LIVE FOLLOWERS 24h login warranty Real Followers Channel -Log in with id and pass to get the co…</t>
  </si>
  <si>
    <t xml:space="preserve">cb_6aa55831df59fbc6fe1b512b</t>
  </si>
  <si>
    <t xml:space="preserve">📱 Vietnamese TikTok soaked for over 1 year</t>
  </si>
  <si>
    <t xml:space="preserve">FORMAT: ID | Pass | Email | Email Pass WARRANTY FOR INCORRECT INFORMATION - SUSPENSION - Within (24H) VIETNAM TIKTOK HAS BEEN AGE-1 IMMORTAL…</t>
  </si>
  <si>
    <t xml:space="preserve">cb_6aacdb525271203cb12d8603</t>
  </si>
  <si>
    <t xml:space="preserve">✅🌐 (can be monetized) Upgrade X Premium 3 months full warranty</t>
  </si>
  <si>
    <t xml:space="preserve">Twitter / X</t>
  </si>
  <si>
    <t xml:space="preserve">Requirements: Just need to send your username or X profile link. The account must be active, not locked/restricted. Do not already have an a…</t>
  </si>
  <si>
    <t xml:space="preserve">cb_6aacdb585271203cb12d874c</t>
  </si>
  <si>
    <t xml:space="preserve">✅🌐 (can be monetized) Upgrade X Premium 6 months full warranty</t>
  </si>
  <si>
    <t xml:space="preserve">cb_6aacdb5e5271203cb12d8854</t>
  </si>
  <si>
    <t xml:space="preserve">✅🌐 Account X Stock 2009-2022 US Bull-Bear-BH24H</t>
  </si>
  <si>
    <t xml:space="preserve">This is a strong US X stock account, if you want to use the account for a suitable purpose you can message me for advice, you can buy one or…</t>
  </si>
  <si>
    <t xml:space="preserve">cb_6aacd4ad5271203cb12c51f7</t>
  </si>
  <si>
    <t xml:space="preserve">🌐 Facebook Blue Check Dormant 1-8 Months Login Warranty</t>
  </si>
  <si>
    <t xml:space="preserve">Facebook</t>
  </si>
  <si>
    <t xml:space="preserve">Clones have a blue checkmark upgrade button with an incubation time of 1-8 months, quite sturdy * When purchased, they can be used as usual.…</t>
  </si>
  <si>
    <t xml:space="preserve">cb_6ab4f89cc08045e8dd0ac579</t>
  </si>
  <si>
    <t xml:space="preserve">🌐 Increase 10K Flow Fanpage in 1 year - no warranty</t>
  </si>
  <si>
    <t xml:space="preserve">📌 SHOPPING GUIDE ⚠️ Members may drop | No warranty 👥 1 purchase = 10,000 members (success 9,900–10,000) 🔗 Please send the group link below w…</t>
  </si>
  <si>
    <t xml:space="preserve">cb_6a9ce0f8d92ddad6f98ad265</t>
  </si>
  <si>
    <t xml:space="preserve">🌐 Increase 10K personal Facebook Flow - no warranty</t>
  </si>
  <si>
    <t xml:space="preserve">cb_6ab4f873c08045e8dd0abfca</t>
  </si>
  <si>
    <t xml:space="preserve">🌐 Increase 1K Flow Fanpage in 1 year - no warranty</t>
  </si>
  <si>
    <t xml:space="preserve">📌 SHOPPING GUIDE ⚠️ Members may decrease | No warranty 👥 1 purchase = 1000 members (successful 990–1000) 🔗 Please send the group link below …</t>
  </si>
  <si>
    <t xml:space="preserve">cb_6a9af5ead7c232c439110144</t>
  </si>
  <si>
    <t xml:space="preserve">🌐 Increase 1K personal Facebook Flow - no warranty</t>
  </si>
  <si>
    <t xml:space="preserve">📌 SHOPPING GUIDE ⚠️ Members may drop | No warranty 👥 1 purchase = 1,000 members (successful 950–1,000) 🔗 Please send the group link below wh…</t>
  </si>
  <si>
    <t xml:space="preserve">cb_6ab8a3b7a83a15aa6f6a6ace</t>
  </si>
  <si>
    <t xml:space="preserve">🌐 Meta Facebook Chat account is not guaranteed</t>
  </si>
  <si>
    <t xml:space="preserve">- Meta Chat Credits are not under warranty - Login warranty - Resource type: Chat Credits - Account not available - after purchase, wait for…</t>
  </si>
  <si>
    <t xml:space="preserve">cb_6aacd4a55271203cb12c4ebc</t>
  </si>
  <si>
    <t xml:space="preserve">🌐 Official Blue Tick Facebook Guaranteed Login</t>
  </si>
  <si>
    <t xml:space="preserve">The clone has the blue verification badge button, with a soak time of 1-8 months, quite durable - Supports updating name + profile picture a…</t>
  </si>
  <si>
    <t xml:space="preserve">cb_6ab8a3aea83a15aa6f6a6963</t>
  </si>
  <si>
    <t xml:space="preserve">🌐 Via Facebook Chat Support Meta does not provide a warranty</t>
  </si>
  <si>
    <t xml:space="preserve">- Warranty via Meta Chat is not available - Login warranty - Type of resource: Via Chat - Account not available - after purchase, wait for A…</t>
  </si>
  <si>
    <t xml:space="preserve">ps_6a316a7b1777fc2347835653</t>
  </si>
  <si>
    <t xml:space="preserve">🖌️ Canva Pro 2 yrs FW</t>
  </si>
  <si>
    <t xml:space="preserve">Canva Pro</t>
  </si>
  <si>
    <t xml:space="preserve">-Activation in email's customers(Full Private Account). -Full warranty 2 yrs im Canva pro Edu. -All pro features is activated even All AI fe…</t>
  </si>
  <si>
    <t xml:space="preserve">ps_6a2fdb4f035a6d898f2106ff</t>
  </si>
  <si>
    <t xml:space="preserve">🖌️ Canva Pro Admin (500 invitations)</t>
  </si>
  <si>
    <t xml:space="preserve">You will get a full email access. Secure your email and change the password. The product is verified with documents and full activated. Don'…</t>
  </si>
  <si>
    <t xml:space="preserve">cb_6ab7ebbb78e9610e9e3689fc</t>
  </si>
  <si>
    <t xml:space="preserve">🖌️ Canva Pro 1 Month (Personal Link)</t>
  </si>
  <si>
    <t xml:space="preserve">CANVA PRO 1 MONTH – JOIN LINK 📌 Instructions for use: - After purchasing, you will receive the Canva Pro Join Link. - Paste the link into yo…</t>
  </si>
  <si>
    <t xml:space="preserve">cb_6aa5594edf59fbc6fe1b7a4b</t>
  </si>
  <si>
    <t xml:space="preserve">😎 Adobe All Apps 7 Days no warranty</t>
  </si>
  <si>
    <t xml:space="preserve">Adobe</t>
  </si>
  <si>
    <t xml:space="preserve">Adobe All Apps 7 Days Use on 2 Devices (NO WARRANTY) Default Adobe Password: Adobe123@ - Account format: email | hotmail_password | token - …</t>
  </si>
  <si>
    <t xml:space="preserve">ps_6a5b873847b606c66fc160b2</t>
  </si>
  <si>
    <t xml:space="preserve">🎨 Adobe Express Premium 12 Months</t>
  </si>
  <si>
    <t xml:space="preserve">- You will receive a redeem link , open it and login with your email you will upgraded instantly to Premium member of adobe express for 12 m…</t>
  </si>
  <si>
    <t xml:space="preserve">mr_adobe-express-12m</t>
  </si>
  <si>
    <t xml:space="preserve">😎 Adobe Express 12m</t>
  </si>
  <si>
    <t xml:space="preserve">💳 No Need Any Card to Activate 📌 Redeem Within 24 Hour ⚡This is activation link can be activated on any email 12 months FREE. No credit card…</t>
  </si>
  <si>
    <t xml:space="preserve">cb_6ab4e7b171af64b485f403ce</t>
  </si>
  <si>
    <t xml:space="preserve">😎 Adobe Full Apps (Bypass Version) 2 devices 3 months full warranty</t>
  </si>
  <si>
    <t xml:space="preserve">📌 Information • Full Adobe application suite • Use on up to 2 devices. Full features like the official version • 1000 credits per month • Fu…</t>
  </si>
  <si>
    <t xml:space="preserve">cb_6ab2adb0faf5c3c1210e153b</t>
  </si>
  <si>
    <t xml:space="preserve">😎 Adobe Full Apps provides 2 devices for 30 days with full warranty</t>
  </si>
  <si>
    <t xml:space="preserve">Adobe Full Apps ready to use on 2 devices Available with ≥1000 credits for Ai, Generative Fill... Lifetime package warranty Orders will be d…</t>
  </si>
  <si>
    <t xml:space="preserve">cb_6ab8a369a83a15aa6f6a60dc</t>
  </si>
  <si>
    <t xml:space="preserve">Deepseek API $10 1 month full warranty</t>
  </si>
  <si>
    <t xml:space="preserve">DeepSeek AI</t>
  </si>
  <si>
    <t xml:space="preserve">DeepSeek API — highlighted by DeepSeek V4.1 Flash, with multiple model options in one package, flexible usage according to your needs! Also …</t>
  </si>
  <si>
    <t xml:space="preserve">cb_6ab8a384a83a15aa6f6a64b3</t>
  </si>
  <si>
    <t xml:space="preserve">Deepseek API $100 1 month full warranty</t>
  </si>
  <si>
    <t xml:space="preserve">cb_6ab8a370a83a15aa6f6a61f9</t>
  </si>
  <si>
    <t xml:space="preserve">Deepseek API $30 1 month full warranty</t>
  </si>
  <si>
    <t xml:space="preserve">cb_6ab8a37ba83a15aa6f6a6343</t>
  </si>
  <si>
    <t xml:space="preserve">Deepseek API $50 1 month full warranty</t>
  </si>
  <si>
    <t xml:space="preserve">mr_figma-edu-12m</t>
  </si>
  <si>
    <t xml:space="preserve">📐 Figma Pro Edu 2Y</t>
  </si>
  <si>
    <t xml:space="preserve">Figma</t>
  </si>
  <si>
    <t xml:space="preserve">📅 2 Years Account Access 📧 Email Access Included ✔️ Premium Features ✔️ Unlimited Projects 🔒 Safe &amp; Secure Access 🛡️ 2 Month Warranty from m…</t>
  </si>
  <si>
    <t xml:space="preserve">ps_6a8ad927f870e3b3430c7b18</t>
  </si>
  <si>
    <t xml:space="preserve">📐 Framer AI 1 Year</t>
  </si>
  <si>
    <t xml:space="preserve">Framer AI</t>
  </si>
  <si>
    <t xml:space="preserve">Looking to take your Framer website to the next level? Get your official Basic Plan yearly subscription code now at an amazing price! ✨ Serv…</t>
  </si>
  <si>
    <t xml:space="preserve">mr_farmer-pro</t>
  </si>
  <si>
    <t xml:space="preserve">📐 Framer Pro 12m</t>
  </si>
  <si>
    <t xml:space="preserve">cb_6aacd3d35271203cb12c0abe</t>
  </si>
  <si>
    <t xml:space="preserve">🦉 Duolingo Max 12 Months full warranty</t>
  </si>
  <si>
    <t xml:space="preserve">Duolingo</t>
  </si>
  <si>
    <t xml:space="preserve">🦉 MAX Duolingo 12 Months (Official Account Upgrade) Experience smooth, effective, and unlimited language learning 📌 Officially upgraded acco…</t>
  </si>
  <si>
    <t xml:space="preserve">cb_6aacd4115271203cb12c25c1</t>
  </si>
  <si>
    <t xml:space="preserve">🦉 Duolingo Max 3 Months full warranty</t>
  </si>
  <si>
    <t xml:space="preserve">🦉 Duolingo Max 3 Months (Official Account Upgrade) Enjoy a smooth, effective, and unlimited language learning experience 📌 Official account …</t>
  </si>
  <si>
    <t xml:space="preserve">cb_6aacd3f05271203cb12c1565</t>
  </si>
  <si>
    <t xml:space="preserve">🦉 Duolingo Max 6 Months full warranty</t>
  </si>
  <si>
    <t xml:space="preserve">🦉 Duolingo Max 6 Months (Official Account Upgrade) Experience smooth, effective, and unlimited language learning 📌 Official account upgrade …</t>
  </si>
  <si>
    <t xml:space="preserve">cb_6ab51a75675d4138eb87ee7a</t>
  </si>
  <si>
    <t xml:space="preserve">⭐ MiniMax Redeem 100K Credit</t>
  </si>
  <si>
    <t xml:space="preserve">Minimax</t>
  </si>
  <si>
    <t xml:space="preserve">Unlimited monthly credit Unlimited devices usage Can be shared with multiple users Higher voice conversion quality Use Credit to add ElevenL…</t>
  </si>
  <si>
    <t xml:space="preserve">cb_6aacd81e5271203cb12ce751</t>
  </si>
  <si>
    <t xml:space="preserve">🔥Minimax Redeem 1M Credit</t>
  </si>
  <si>
    <t xml:space="preserve">cb_6aacd8245271203cb12ce949</t>
  </si>
  <si>
    <t xml:space="preserve">🔥Minimax Redeem 300K Credit</t>
  </si>
  <si>
    <t xml:space="preserve">cb_6aacd8295271203cb12ce9f3</t>
  </si>
  <si>
    <t xml:space="preserve">🔥Minimax Redeem 3M Credit</t>
  </si>
  <si>
    <t xml:space="preserve">cb_6ab27a542d45b71acbe9257d</t>
  </si>
  <si>
    <t xml:space="preserve">🎬 KLING 700-900 per month (24h warranty)</t>
  </si>
  <si>
    <t xml:space="preserve">Kling AI</t>
  </si>
  <si>
    <t xml:space="preserve">ACC KLING STAND RANDOM 700-750 CREDITS</t>
  </si>
  <si>
    <t xml:space="preserve">cb_6ab27a362d45b71acbe91f6f</t>
  </si>
  <si>
    <t xml:space="preserve">🎬 KLING pre random 8k1-9k5 credit 1 month 2-day warranty</t>
  </si>
  <si>
    <t xml:space="preserve">cb_6aacd6bf5271203cb12ca92e</t>
  </si>
  <si>
    <t xml:space="preserve">Krea Basic 5100 credit 1 month warranty 1 day</t>
  </si>
  <si>
    <t xml:space="preserve">Leonardo AI</t>
  </si>
  <si>
    <t xml:space="preserve">cb_6aacd8385271203cb12cec3c</t>
  </si>
  <si>
    <t xml:space="preserve">⭐ N8N Starter Redeem 1 year</t>
  </si>
  <si>
    <t xml:space="preserve">N8N Automation</t>
  </si>
  <si>
    <t xml:space="preserve">Description: Duration: 12 Months Official discount code 🚫 No warranty after code activation Log in to your account ⚠️ Please note that the c…</t>
  </si>
  <si>
    <t xml:space="preserve">cb_6ab69029a85f2774f232a383</t>
  </si>
  <si>
    <t xml:space="preserve">🎵 Suno Pre 1 month warranty 7 days</t>
  </si>
  <si>
    <t xml:space="preserve">Suno AI</t>
  </si>
  <si>
    <t xml:space="preserve">Login Hotmail Checked thoroughly Apply the 7-day warranty rule refund according to the remaining warranty days if using the warranty package…</t>
  </si>
  <si>
    <t xml:space="preserve">cb_6aba6c9431a482e3ae2a133c</t>
  </si>
  <si>
    <t xml:space="preserve">🚀 Grok Super 6-7 Days - (full warranty)</t>
  </si>
  <si>
    <t xml:space="preserve">Grok &amp; xAI</t>
  </si>
  <si>
    <t xml:space="preserve">Grok Super 6-7 Days - (full warranty) Format: Email | Pass ⚠️ REGULATIONS: • Absolutely do not cancel the package. • Can change the password…</t>
  </si>
  <si>
    <t xml:space="preserve">cb_6aacd6315271203cb12c904d</t>
  </si>
  <si>
    <t xml:space="preserve">🚀 Grok xAI API key $100 1 Month (30D Warranty)</t>
  </si>
  <si>
    <t xml:space="preserve">Official key of GROK X.AI To buy additional Usage, contact separately to purchase</t>
  </si>
  <si>
    <t xml:space="preserve">cb_6aa2d1ff553547f0f1040dbe</t>
  </si>
  <si>
    <t xml:space="preserve">🚀 Upgrade official owner Super Grok 3 months - full warranty</t>
  </si>
  <si>
    <t xml:space="preserve">🛒 HOW TO PLACE AN ORDER - Upgrade your own GROK account - ⏱️ Completed within 6 hours (may be sooner), calculated during working hours 9am–1…</t>
  </si>
  <si>
    <t xml:space="preserve">cb_6a919ccd02c1f7982755d2d8</t>
  </si>
  <si>
    <t xml:space="preserve">🚀 Upgrading the official owner Grok Heavy for 1 month without warranty</t>
  </si>
  <si>
    <t xml:space="preserve">cb_6a9554263e12861980a29a8c</t>
  </si>
  <si>
    <t xml:space="preserve">🚀 Upgrading the original owner Grok Super 1 month without warranty</t>
  </si>
  <si>
    <t xml:space="preserve">🛒 HOW TO ORDER - Upgrade your GROK account to your name - ⏱️ Completed within 6 hours (may be sooner), calculated during working hours 9am–1…</t>
  </si>
  <si>
    <t xml:space="preserve">cb_6ab5189b675d4138eb87a992</t>
  </si>
  <si>
    <t xml:space="preserve">Kahoot Bronze 50 original accounts 1 month full warranty</t>
  </si>
  <si>
    <t xml:space="preserve">Kahoot!</t>
  </si>
  <si>
    <t xml:space="preserve">• Official Kahoot Silver, 1 month full-time warranty • Customers send their Kahoot account + password to get upgraded ✨ Upgrade Kahoot with …</t>
  </si>
  <si>
    <t xml:space="preserve">cb_6aacd6695271203cb12c990a</t>
  </si>
  <si>
    <t xml:space="preserve">Kahoot Gold 200 original users 1 month full warranty</t>
  </si>
  <si>
    <t xml:space="preserve">• Kahoot Gold officially owned, 1-month full-time warranty • Customers send Kahoot account + password to be upgraded ✨ Outstanding features:…</t>
  </si>
  <si>
    <t xml:space="preserve">cb_6aacd6715271203cb12c9b83</t>
  </si>
  <si>
    <t xml:space="preserve">Kahoot One Event 800 genuine users, 1 month full warranty</t>
  </si>
  <si>
    <t xml:space="preserve">• Kahoot One Event official owner 1 month Full-time Warranty • Customers send Kahoot account + password for upgrade • 🎮 Organize unlimited K…</t>
  </si>
  <si>
    <t xml:space="preserve">cb_6aacd6585271203cb12c9533</t>
  </si>
  <si>
    <t xml:space="preserve">Kahoot Plus Gold 7 Days full warranty</t>
  </si>
  <si>
    <t xml:space="preserve">Kahoot Plus Gold 7-Day Trial full warranty Format: Email|Pass</t>
  </si>
  <si>
    <t xml:space="preserve">cb_6aacd6605271203cb12c96d7</t>
  </si>
  <si>
    <t xml:space="preserve">Kahoot Silver 100 genuine users, 1 month full warranty</t>
  </si>
  <si>
    <t xml:space="preserve">cb_6ab55401675d4138eb925738</t>
  </si>
  <si>
    <t xml:space="preserve">🦈 SURFSARK 18 MONTHS warranty 1 YEAR</t>
  </si>
  <si>
    <t xml:space="preserve">Surfshark VPN</t>
  </si>
  <si>
    <t xml:space="preserve">- Surfshark login with an 18-month code (6/4/2028). - Can activate 3 codes; from the 4M code onward, the shop charges $1 for support. - Ever…</t>
  </si>
  <si>
    <t xml:space="preserve">cb_6aacda665271203cb12d5886</t>
  </si>
  <si>
    <t xml:space="preserve">🦈 SurfShark VPN Android/PC/iOS 7 days full warranty</t>
  </si>
  <si>
    <t xml:space="preserve">Surfshark VPN One 7-Day package full login warranty for 5 devices, logging in too much causing account lock will not be covered by warranty …</t>
  </si>
  <si>
    <t xml:space="preserve">cb_6aacda6a5271203cb12d596e</t>
  </si>
  <si>
    <t xml:space="preserve">🦈 Surfshark VPN One 7 Days full warranty</t>
  </si>
  <si>
    <t xml:space="preserve">Surfshark VPN One 7-Day package full login warranty for 5 devices, logging in too many times causing the account to be locked will not be co…</t>
  </si>
  <si>
    <t xml:space="preserve">cb_6aacd8425271203cb12cee41</t>
  </si>
  <si>
    <t xml:space="preserve">📦 NORD VPN 10 devices 7 days full warranty</t>
  </si>
  <si>
    <t xml:space="preserve">NordVPN</t>
  </si>
  <si>
    <t xml:space="preserve">- Nord VPN can be used on 10 devices with a 7-day full warranty - Account format | password works on Android, iOS, PC - Get the code at the …</t>
  </si>
  <si>
    <t xml:space="preserve">mr_nordvpn-3m</t>
  </si>
  <si>
    <t xml:space="preserve">📦 Nord Vpn 3m</t>
  </si>
  <si>
    <t xml:space="preserve">🚀 Instant Delivery Available ⚡ Basic Plan 10 Devices 🔒 Fast &amp; Secure VPN Service 📩 Activation Link Provided Immediately 🛡️ Warranty till lin…</t>
  </si>
  <si>
    <t xml:space="preserve">cb_6aaedc6786b4242014995522</t>
  </si>
  <si>
    <t xml:space="preserve">📦 Nord VPN code 3 months - no warranty</t>
  </si>
  <si>
    <t xml:space="preserve">*🎉 NordVPN 3 months* Detailed Activation Process: ➡️ https://my.nordaccount.com/activate Enter your code here. ➡️ Enter your email address. …</t>
  </si>
  <si>
    <t xml:space="preserve">cb_6aacd8505271203cb12cf144</t>
  </si>
  <si>
    <t xml:space="preserve">📦 NordVPN 3 Days full warranty</t>
  </si>
  <si>
    <t xml:space="preserve">Format: Email|Pass</t>
  </si>
  <si>
    <t xml:space="preserve">cb_6aacd49b5271203cb12c4a74</t>
  </si>
  <si>
    <t xml:space="preserve">🚚 Express VPN 10 devices 3 days full warranty</t>
  </si>
  <si>
    <t xml:space="preserve">ExpressVPN</t>
  </si>
  <si>
    <t xml:space="preserve">Format: email|pass, pass is always the activation key Get the code at: Cutemail.us</t>
  </si>
  <si>
    <t xml:space="preserve">cb_6aaed9b386b424201499074b</t>
  </si>
  <si>
    <t xml:space="preserve">🚚 Express VPN 3 Days full warranty</t>
  </si>
  <si>
    <t xml:space="preserve">Format: email|pass|activation key Web mail: https://get-opt.phh.info.vn/</t>
  </si>
  <si>
    <t xml:space="preserve">cb_6aacdca45271203cb12dc02d</t>
  </si>
  <si>
    <t xml:space="preserve">🛡️ Adguard VPN 7 Days full warranty</t>
  </si>
  <si>
    <t xml:space="preserve">Avira &amp; Norton &amp; Kaspersky &amp; Others 🔑</t>
  </si>
  <si>
    <t xml:space="preserve">Adguard VPN account 7 Days full warranty Format: Email|Pass|Web otp</t>
  </si>
  <si>
    <t xml:space="preserve">ps_6a8834a1fb032a732128e7bc</t>
  </si>
  <si>
    <t xml:space="preserve">🛡️ Avira Prime 3 Months</t>
  </si>
  <si>
    <t xml:space="preserve">Avira Prime – 3 Months Subscription (5 Devices) 🛡✨ Get premium cybersecurity with complete privacy and full device optimization. Key Feature…</t>
  </si>
  <si>
    <t xml:space="preserve">cb_6aacd4f15271203cb12c608b</t>
  </si>
  <si>
    <t xml:space="preserve">Freepik - Magnific Premium API Web Panel 30D full warranty</t>
  </si>
  <si>
    <t xml:space="preserve">Freepik</t>
  </si>
  <si>
    <t xml:space="preserve">Web Panel with simple interface, fast operation: just paste the resource/image link into the panel to process and download the file. Main fe…</t>
  </si>
  <si>
    <t xml:space="preserve">cb_6aacd4f65271203cb12c613b</t>
  </si>
  <si>
    <t xml:space="preserve">Freepik - Magnific Premium API Web Panel 60D full warranty</t>
  </si>
  <si>
    <t xml:space="preserve">cb_6aacd5025271203cb12c63ea</t>
  </si>
  <si>
    <t xml:space="preserve">Freepik - Magnific Premium API Web Panel 90D full warranty</t>
  </si>
  <si>
    <t xml:space="preserve">cb_6aacdca95271203cb12dc135</t>
  </si>
  <si>
    <t xml:space="preserve">🛡️ Hotspot Shield VPN 7 Days full warranty</t>
  </si>
  <si>
    <t xml:space="preserve">cb_6aacdcad5271203cb12dc1c3</t>
  </si>
  <si>
    <t xml:space="preserve">🛡️ IPVanish VPN 7 Days full warranty</t>
  </si>
  <si>
    <t xml:space="preserve">IPVanish VPN account 7 Days full warranty Format: Email|Pass Web mail: https://get-opt.phh.info.vn</t>
  </si>
  <si>
    <t xml:space="preserve">cb_6ab68e38a85f2774f232530f</t>
  </si>
  <si>
    <t xml:space="preserve">🛡️ Kaspersky Premium + VPN 1 month - full warranty</t>
  </si>
  <si>
    <t xml:space="preserve">🛡️ KASPERSKY PREMIUM + VPN – 1 MONTH | full warranty 📌 BENEFITS • Protection against viruses, malware &amp; ransomware • Safe web browsing, AI p…</t>
  </si>
  <si>
    <t xml:space="preserve">cb_6aacd64b5271203cb12c93d8</t>
  </si>
  <si>
    <t xml:space="preserve">🛡️ KEY HMA AND/PC 20-30 DAYS</t>
  </si>
  <si>
    <t xml:space="preserve">cb_6aacdcb15271203cb12dc2b7</t>
  </si>
  <si>
    <t xml:space="preserve">🛡️ Norton VPN Ultimate 7 Days full warranty</t>
  </si>
  <si>
    <t xml:space="preserve">Norton VPN Ultimate 7 Days full warranty, login for 5 devices Format: Email|Pass (When logging in, first enter the email, then select Use pa…</t>
  </si>
  <si>
    <t xml:space="preserve">cb_6aacdce15271203cb12dcb51</t>
  </si>
  <si>
    <t xml:space="preserve">🛡️ PIA VPN 7 Days full warranty</t>
  </si>
  <si>
    <t xml:space="preserve">PIA VPN 7 Days full warranty Format: Use name / Pass</t>
  </si>
  <si>
    <t xml:space="preserve">cb_6aacdcb95271203cb12dc39b</t>
  </si>
  <si>
    <t xml:space="preserve">🛡️ PIA VPN 7-Day full warranty</t>
  </si>
  <si>
    <t xml:space="preserve">Format: Username|Pass</t>
  </si>
  <si>
    <t xml:space="preserve">cb_6aacdcbd5271203cb12dc49d</t>
  </si>
  <si>
    <t xml:space="preserve">🛡️ PureVPN 7 Days full warranty</t>
  </si>
  <si>
    <t xml:space="preserve">PureVPN 7-Day Account full warranty Format: Email|Pass</t>
  </si>
  <si>
    <t xml:space="preserve">cb_6aacda4e5271203cb12d5388</t>
  </si>
  <si>
    <t xml:space="preserve">🎧 Spotify Premium 3-Month Activation Link with No Warranty</t>
  </si>
  <si>
    <t xml:space="preserve">Spotify</t>
  </si>
  <si>
    <t xml:space="preserve">✨ Activate Premium directly on your account 🆕 Requires a new / eligible account, use an India VPN first, then click the LINK to activate 🎵 U…</t>
  </si>
  <si>
    <t xml:space="preserve">cb_6aacd0c15271203cb12b5da8</t>
  </si>
  <si>
    <t xml:space="preserve">🍎 Apple ID 2FA Gmail</t>
  </si>
  <si>
    <t xml:space="preserve">Gmail</t>
  </si>
  <si>
    <t xml:space="preserve">- Account not yet through service - Default region is United States. - All use Gmail email. - All have been checked live and soaked thorough…</t>
  </si>
  <si>
    <t xml:space="preserve">cb_6abbed9117aa4c8f0341da89</t>
  </si>
  <si>
    <t xml:space="preserve">😀 Gmail (New) - Login All</t>
  </si>
  <si>
    <t xml:space="preserve">GMAIL New CARABAO - Login on All devices Format: Gmail | Password | recovery email WARRANTY FOR FIRST LOGIN 24H (phone verification, wrong p…</t>
  </si>
  <si>
    <t xml:space="preserve">cb_6ab49dc371af64b485e75711</t>
  </si>
  <si>
    <t xml:space="preserve">Gmail 2008-2019🌀Get unlimited OTP within 48 hours</t>
  </si>
  <si>
    <t xml:space="preserve">- WARRANTY: 48 hours - Get unlimited OTP for 3 months Format: gmail | pass | mail recovery | 2fa | phone Includes phone number verification:…</t>
  </si>
  <si>
    <t xml:space="preserve">cb_6ab9658c266735c89785073c</t>
  </si>
  <si>
    <t xml:space="preserve">😀 GMAIL OLD DATE 2019 - 202X WITHOUT SERVICES INCLUDING OTP API</t>
  </si>
  <si>
    <t xml:space="preserve">- Format: Mail | Pass | 2fa | API OTP - OLD GMAIL DATE 2019 - 202X WITHOUT SERVICE INCLUDING API OTP - LOGIN warranty within 24h, warranty e…</t>
  </si>
  <si>
    <t xml:space="preserve">cb_6aa40d9ea65b365f0f52981a</t>
  </si>
  <si>
    <t xml:space="preserve">😀 GMAIL OLD DATE 201X-202X</t>
  </si>
  <si>
    <t xml:space="preserve">- Format: Email | Password | Recovery Email | 2FA - LOGIN warranty within 24 hours, after LOGIN the WARRANTY ends - RANDOM GMAIL DATE 201X-2…</t>
  </si>
  <si>
    <t xml:space="preserve">cb_6aba21d231a482e3ae1c295e</t>
  </si>
  <si>
    <t xml:space="preserve">😀 Gmail Random 200X~2023 With 2FA</t>
  </si>
  <si>
    <t xml:space="preserve">Format: Gmail | Pass | 2FA FIRST LOGIN WARRANTY 24H - Once logged in successfully, no warranty - Gmail has been nurtured and used through AD…</t>
  </si>
  <si>
    <t xml:space="preserve">cb_6ab3ee4a0944def028bdb63c</t>
  </si>
  <si>
    <t xml:space="preserve">😀 Gmail Random 2020~2023 With 2FA</t>
  </si>
  <si>
    <t xml:space="preserve">- Format: Gmail | Password | 2FA FIRST LOGIN WARRANTY 24H (wrong phone, wrong password) is covered by warranty CHECKED LIVE BEFORE SALE - Ne…</t>
  </si>
  <si>
    <t xml:space="preserve">cb_6a9e2f55520493a74044fd03</t>
  </si>
  <si>
    <t xml:space="preserve">😀 Gmail random 5-10 months log all devices high trial rate</t>
  </si>
  <si>
    <t xml:space="preserve">Username|pass|2fa format Customers who get the mail should secure their accounts themselves to avoid unnecessary issues 24-hour warranty, on…</t>
  </si>
  <si>
    <t xml:space="preserve">cb_6ab4fd13c08045e8dd0b9143</t>
  </si>
  <si>
    <t xml:space="preserve">😀 Gmail Random IP 2020-2024</t>
  </si>
  <si>
    <t xml:space="preserve">Format: username|pass|mkp or username|pass|2FA Customers receiving mail are requested to secure their own accounts to avoid unnecessary issu…</t>
  </si>
  <si>
    <t xml:space="preserve">cb_6aa7e0491c2a8212a2fbe18a</t>
  </si>
  <si>
    <t xml:space="preserve">😀 GMAIL TRIAL DATE 201X - 202X WITH 2FA</t>
  </si>
  <si>
    <t xml:space="preserve">- Format: Mail | Pass | 2fa - LOGIN warranty within 24 hours after purchase</t>
  </si>
  <si>
    <t xml:space="preserve">cb_6ab4fd0ac08045e8dd0b8f0f</t>
  </si>
  <si>
    <t xml:space="preserve">😀 GMAIL TRIAL DATE 202X HAS 2FA</t>
  </si>
  <si>
    <t xml:space="preserve">- Format: Mail | Pass | 2fa | Passkey - LOGIN warranty within 24h, after LOGIN the WARRANTY ends - GMAIL TRIAL RANDOM IP DATE 202X - Get Goo…</t>
  </si>
  <si>
    <t xml:space="preserve">cb_6a9f199a4f6e4dbc770d3fcf</t>
  </si>
  <si>
    <t xml:space="preserve">😀 GMAIL US OLD DATE 201X TRIAL HAS 2FA</t>
  </si>
  <si>
    <t xml:space="preserve">- Format: Email | Password | Recovery email | 2FA - LOGIN warranty within 24h, after LOGIN warranty ends - US GMAIL OLD DATE 201X TRIAL WITH…</t>
  </si>
  <si>
    <t xml:space="preserve">cb_6ab68d91a85f2774f23237f1</t>
  </si>
  <si>
    <t xml:space="preserve">😀 GMAIL US RANDOM DATE 201X- 202X</t>
  </si>
  <si>
    <t xml:space="preserve">- Format: Mail | Pass | Recovery Mail | 2fa - LOGIN warranty within 24h, after LOGIN the WARRANTY ends - GMAIL RANDOM DATE 201X-202X - Link …</t>
  </si>
  <si>
    <t xml:space="preserve">cb_6ab9657f266735c8978504f6</t>
  </si>
  <si>
    <t xml:space="preserve">😀 Gmail Vietnam 2020-2024 2FA</t>
  </si>
  <si>
    <t xml:space="preserve">cb_6aacd58c5271203cb12c79b3</t>
  </si>
  <si>
    <t xml:space="preserve">😀 Gmail Vietnam 2020-2024 2FA has an old channel</t>
  </si>
  <si>
    <t xml:space="preserve">ps_6a612473af18a2a83bc049a0</t>
  </si>
  <si>
    <t xml:space="preserve">😀 Gmails Accounts</t>
  </si>
  <si>
    <t xml:space="preserve">You will receive fresh Gmail format gmail | password</t>
  </si>
  <si>
    <t xml:space="preserve">cb_6abbeda917aa4c8f0341df19</t>
  </si>
  <si>
    <t xml:space="preserve">😀 Hong Kong Number Very SMS Gmail (Live 90 Days)</t>
  </si>
  <si>
    <t xml:space="preserve">Hong Kong Phone Number Very SMS Gmail (Live 90~100 Days) - All numbers are live - Numbers work well, very high success rate - Buy once, subs…</t>
  </si>
  <si>
    <t xml:space="preserve">cb_6aaff3ae86b4242014ba4024</t>
  </si>
  <si>
    <t xml:space="preserve">😀 Old Random Gmail 2010~2022</t>
  </si>
  <si>
    <t xml:space="preserve">🇻🇳Description: Login Password Error - Phone Verification - Login Warranty 24H - once login is successful, warranty ends Format: Gmail | Pass…</t>
  </si>
  <si>
    <t xml:space="preserve">cb_6abbedd317aa4c8f0341e6c7</t>
  </si>
  <si>
    <t xml:space="preserve">😀 US Very SMS Gmail Number (Live 90 Days)</t>
  </si>
  <si>
    <t xml:space="preserve">US Phone Number Very SMS Gmail (Live 90~100 Days) - All are live numbers - Numbers work well, very high success rate - Buy once, subsequent …</t>
  </si>
  <si>
    <t xml:space="preserve">cb_6aaff3b486b4242014ba417a</t>
  </si>
  <si>
    <t xml:space="preserve">😀 Vietnamese Gmail 2009~2022 2FA</t>
  </si>
  <si>
    <t xml:space="preserve">Format: Gmail | Pass | 2FA FIRST LOGIN WARRANTY 24H (very phone, wrong pass) is covered ALREADY CHECKED LIVE BEFORE SELLING</t>
  </si>
  <si>
    <t xml:space="preserve">cb_6aacd9a35271203cb12d352c</t>
  </si>
  <si>
    <t xml:space="preserve">🦉 Quizlet Plus Unlimited 1 Month - full warranty</t>
  </si>
  <si>
    <t xml:space="preserve">Quizlet Plus</t>
  </si>
  <si>
    <t xml:space="preserve">🚀 QUIZLET PLUS UNLIMITED – 1 MONTH | full warranty 📌 BENEFITS • Quizlet Plus account for Teachers • Ad-free learning • Unlimited creation an…</t>
  </si>
  <si>
    <t xml:space="preserve">cb_6aacd9ac5271203cb12d36f9</t>
  </si>
  <si>
    <t xml:space="preserve">🦉 Quizlet Plus Unlimited 1 Year - full warranty</t>
  </si>
  <si>
    <t xml:space="preserve">Send Account And Password Through</t>
  </si>
  <si>
    <t xml:space="preserve">cb_6aacd9a95271203cb12d3650</t>
  </si>
  <si>
    <t xml:space="preserve">🦉 Quizlet Plus Unlimited 30 Days full warranty</t>
  </si>
  <si>
    <t xml:space="preserve">Quizlet Plus Unlimited for teacher 30 Days full warranty Format: Email|Pass Web mail: https://get-opt.phh.info.vn/</t>
  </si>
  <si>
    <t xml:space="preserve">cb_6aacd0cd5271203cb12b5f84</t>
  </si>
  <si>
    <t xml:space="preserve">🍎 Apple ID 2FA Hotmail 24H warranty</t>
  </si>
  <si>
    <t xml:space="preserve">Outlook &amp; Hotmail</t>
  </si>
  <si>
    <t xml:space="preserve">ACCOUNTS APPLE US login with phone number ID|Pass|2fa link</t>
  </si>
  <si>
    <t xml:space="preserve">cb_6a915767a0ab487671128bb5</t>
  </si>
  <si>
    <t xml:space="preserve">📩 Hotmail Trusted - 6 months - no warranty</t>
  </si>
  <si>
    <t xml:space="preserve">🌟 QUALITY COMMITMENT: ✅ 100% new email, freshly created on a clean IP. ✅ Original, never used with any service (FB, TikTok...). ✅ Standard f…</t>
  </si>
  <si>
    <t xml:space="preserve">cb_6a1d1cdc46c5d0dca059d448</t>
  </si>
  <si>
    <t xml:space="preserve">📩 Outlook Trusted - 6 months - no warranty</t>
  </si>
  <si>
    <t xml:space="preserve">🌟 QUALITY COMMITMENT: ✅ 100% new email, clean initialization on clean IP. ✅ Original, never used any services (FB, TikTok...). ✅ Standard fo…</t>
  </si>
  <si>
    <t xml:space="preserve">ps_6a820a0b969a9635841ddb30</t>
  </si>
  <si>
    <t xml:space="preserve">edX Premium 12Months</t>
  </si>
  <si>
    <t xml:space="preserve">Education &amp; Courses</t>
  </si>
  <si>
    <t xml:space="preserve">Description: ✨What's Included ✔️ 12 Months Premium Access ☺️ Alternative of Coursera 📩 Ready-Made Account 🔑 Direct Email &amp; Password 🌐 Learn …</t>
  </si>
  <si>
    <t xml:space="preserve">cb_6aaed97086b424201498ff63</t>
  </si>
  <si>
    <t xml:space="preserve">🦉 Memrise Pro lifetime 20 years warranty 1 month</t>
  </si>
  <si>
    <t xml:space="preserve">🔥 Memrise language learning app 🔥 Learn over 30 languages, has AI chat, includes Vietnamese. You can change to your own email and password</t>
  </si>
  <si>
    <t xml:space="preserve">cb_6aacdcee5271203cb12dcd4a</t>
  </si>
  <si>
    <t xml:space="preserve">Skillshare 30 Days full warranty</t>
  </si>
  <si>
    <t xml:space="preserve">Skillshare account 30 days full warranty (sometimes the date may slip a few days) Format: Email|Pass</t>
  </si>
  <si>
    <t xml:space="preserve">cb_6ab6904ba85f2774f232a9c8</t>
  </si>
  <si>
    <t xml:space="preserve">Udemy Personal Plan $25 1 Month – (5D warranty)</t>
  </si>
  <si>
    <t xml:space="preserve">Udemy Personal Plan 1 Month ($25) Duration: 1 Month Package: Udemy Personal Plan Format: Email | Pass Warranty: 5 Days Login to check immedi…</t>
  </si>
  <si>
    <t xml:space="preserve">mr_udemy-1m</t>
  </si>
  <si>
    <t xml:space="preserve">Udemy Personal Plan 1M</t>
  </si>
  <si>
    <t xml:space="preserve">🎓 Udemy Personal Plan 1 Month🎓 📩 Full Mail Access 📚 Access to Almost All Udemy Courses ⚡ Made on Outlook Accounts / Mail.tm 📋 &lt;b&gt;Activation …</t>
  </si>
  <si>
    <t xml:space="preserve">cb_6aacd0d95271203cb12b6412</t>
  </si>
  <si>
    <t xml:space="preserve">📐 Autodesk 1 App 3 years warranty 1 year</t>
  </si>
  <si>
    <t xml:space="preserve">Autodesk</t>
  </si>
  <si>
    <t xml:space="preserve">After a successful upgrade, please wait about 10 minutes and log in to the page: https://manage.autodesk.com/products/all to download the ap…</t>
  </si>
  <si>
    <t xml:space="preserve">cb_6aacd0e15271203cb12b6595</t>
  </si>
  <si>
    <t xml:space="preserve">📐 Autodesk App All: AutoCAD, 3ds Max... 3 Years warranty 1 Year</t>
  </si>
  <si>
    <t xml:space="preserve">Autodesk All Apps (34 Applications) – 3-Year License 1-year warranty 3ds Max, Alias AutoStudio, Arnold, AutoCAD (including Specialized Tools…</t>
  </si>
  <si>
    <t xml:space="preserve">cb_6ab7983c0f9ff38abc268ccb</t>
  </si>
  <si>
    <t xml:space="preserve">📐 AutoDesk Full App Official Owner 1 Year Full Warranty</t>
  </si>
  <si>
    <t xml:space="preserve">🎓 AUTODESK ALL APPS – 3 YEARS 📦 Includes: AutoCAD + Specialized Toolsets, 3ds Max, Maya, Revit, Inventor, Civil 3D, Fusion, Navisworks, Infr…</t>
  </si>
  <si>
    <t xml:space="preserve">mr_amazon-prime-6m</t>
  </si>
  <si>
    <t xml:space="preserve">📺 Amazon Prime Video 6m</t>
  </si>
  <si>
    <t xml:space="preserve">Prime Video</t>
  </si>
  <si>
    <t xml:space="preserve">📌 6-Month Subscription ✅ Validity: 6 Months 🔐 Private Account — For Your Use Only 📱 Works on: Prime Video (Android / iOS / PC / Browser) 📋 &lt;…</t>
  </si>
  <si>
    <t xml:space="preserve">ps_6a3d636221735658e32bd2a6</t>
  </si>
  <si>
    <t xml:space="preserve">📺 Amazon Prime 6Months</t>
  </si>
  <si>
    <t xml:space="preserve">⏳ Duration: 180 days FULL PRIVATE ACCOUNTS FULL ACCESS TO EMAIL After receiving your account details, you can start watching Amazon Prime Vi…</t>
  </si>
  <si>
    <t xml:space="preserve">ps_6a93e9fdd46143eb34b0d774</t>
  </si>
  <si>
    <t xml:space="preserve">🍿 HBO MAX 3 MONTHS</t>
  </si>
  <si>
    <t xml:space="preserve">HBO Max</t>
  </si>
  <si>
    <t xml:space="preserve">NO VPN REQUIRED SIGN IN VIA EMAIL AND PASSWORD FULL PRIVATE ACCOUNT Warranty : one months</t>
  </si>
  <si>
    <t xml:space="preserve">mr_quillbot-1m</t>
  </si>
  <si>
    <t xml:space="preserve">🪶 Quillbot Premium 1m</t>
  </si>
  <si>
    <t xml:space="preserve">Quillbot</t>
  </si>
  <si>
    <t xml:space="preserve">🤖 This is a coupon code 📝 Upgrade your writing game instantly! Get full access to the ultimate AI writing assistant. 💥 ⏳ Your coupon code ho…</t>
  </si>
  <si>
    <t xml:space="preserve">mr_notion-12</t>
  </si>
  <si>
    <t xml:space="preserve">📝 Notion Business 12m</t>
  </si>
  <si>
    <t xml:space="preserve">Notion</t>
  </si>
  <si>
    <t xml:space="preserve">⚡ Everything in Plus ⚡ Notion Agent and many more ⚡ Duration: 12 Month ⚡ Official Coupon Code 🚫 No Warranty After Coupon Activation ⚡ On You…</t>
  </si>
  <si>
    <t xml:space="preserve">mr_notion-business-3m</t>
  </si>
  <si>
    <t xml:space="preserve">📝 Notion Business 3m</t>
  </si>
  <si>
    <t xml:space="preserve">📌 Notion Business Plan – 3 Months Access ⚠️ Use Single Card on Single Account and we don't provide you card you have to arrange your own car…</t>
  </si>
  <si>
    <t xml:space="preserve">ps_6a54b931351561c645a43e8c</t>
  </si>
  <si>
    <t xml:space="preserve">📝 Notion Plus 12M</t>
  </si>
  <si>
    <t xml:space="preserve">✅ Account email:pass given ✅ This is Notion Education Plus Account ✅ Email change is allowed ✅ 12 Month ✅ Reset account security after login…</t>
  </si>
  <si>
    <t xml:space="preserve">cb_6aacd0d05271203cb12b60a4</t>
  </si>
  <si>
    <t xml:space="preserve">🍎 Apple ID CHBM 24-hour warranty</t>
  </si>
  <si>
    <t xml:space="preserve">Apple Services</t>
  </si>
  <si>
    <t xml:space="preserve">apple id has not passed service ID|Pass|CHBM1|CHBM2|CHBM2</t>
  </si>
  <si>
    <t xml:space="preserve">mr_apple_music_5m</t>
  </si>
  <si>
    <t xml:space="preserve">🍎 Apple Music 5M</t>
  </si>
  <si>
    <t xml:space="preserve">⚡ 1 Month Warranty ⚡ Apple Music 5 Month Activaton Link ⚡ Only for fresh account of Indian Region use vpn ⚡ Valid payment method upi / card …</t>
  </si>
  <si>
    <t xml:space="preserve">ps_6abeace70dbb401865ffb2d2</t>
  </si>
  <si>
    <t xml:space="preserve">🍎 Apple TV 12 Months Link</t>
  </si>
  <si>
    <t xml:space="preserve">📺APPLE TV 12M ACTIVATION LINK 🎁48 HOURs HOLD WARRANTY 🍏 SIMPLE AS GEMINI/DUOLINGO LINKS NO CARD/PAYMENTMETHOD REQUIRED✅ 📱ACTIVATION PROCESS …</t>
  </si>
  <si>
    <t xml:space="preserve">cb_6ab11eedf6d40479fdd78ef8</t>
  </si>
  <si>
    <t xml:space="preserve">🍎 Link to Get Apple Music Individual Offer 5 months 1-day warranty</t>
  </si>
  <si>
    <t xml:space="preserve">📋 Package: Apple Music Individual - Duration: 5 months - Method: Activated directly on your account - Format: Official activation link - No …</t>
  </si>
  <si>
    <t xml:space="preserve">mr_jetbrain</t>
  </si>
  <si>
    <t xml:space="preserve">💻 JetBrains Edu Pack 12m</t>
  </si>
  <si>
    <t xml:space="preserve">JetBrains</t>
  </si>
  <si>
    <t xml:space="preserve">💻 JetBrains Student Pack — Legal &amp; Original License 🔐 Private Account 📅 1 Year License — Extendable Further (Expiry Around Sep 2027) 🚀 18 Pr…</t>
  </si>
  <si>
    <t xml:space="preserve">cb_6ab9640b266735c89784dc6d</t>
  </si>
  <si>
    <t xml:space="preserve">⭐ Code Redeem $150 AWS (Amazon Web Services)</t>
  </si>
  <si>
    <t xml:space="preserve">AWS &amp; GBM</t>
  </si>
  <si>
    <t xml:space="preserve">Expiration date until 2031, one account can enter multiple codes</t>
  </si>
  <si>
    <t xml:space="preserve">cb_6ab61e2fa85f2774f2206f5d</t>
  </si>
  <si>
    <t xml:space="preserve">⭐ Code redeem $50 Amazon Web Services (AWS)</t>
  </si>
  <si>
    <t xml:space="preserve">AWS Promotional Credits, $50 (1 account can add up to 2 codes) Important: Redeem the code before 09/30/2026. After redeeming, the credit is …</t>
  </si>
  <si>
    <t xml:space="preserve">cb_6ab4fdb9c08045e8dd0bb277</t>
  </si>
  <si>
    <t xml:space="preserve">⭐ Official GPM Login Key 1 month full warranty</t>
  </si>
  <si>
    <t xml:space="preserve">-GPM Login -Package duration: 1 month -Warranty: 1 month -Only buy if you know how to use it, returns are not accepted under any circumstanc…</t>
  </si>
  <si>
    <t xml:space="preserve">cb_6aacd9f95271203cb12d44cf</t>
  </si>
  <si>
    <t xml:space="preserve">⭐ OFFICIAL GPM LOGIN KEY 10 YEARS full warranty</t>
  </si>
  <si>
    <t xml:space="preserve">- 1 GPM KEY For Use On 1 Machine Only - Format: SUB_XXXXXXXX - This is not a cracked item; the key is purchased directly from GPM, guarantee…</t>
  </si>
  <si>
    <t xml:space="preserve">cb_6ab4fdcac08045e8dd0bb822</t>
  </si>
  <si>
    <t xml:space="preserve">⭐ Official GPM Login Key with 6 months full warranty</t>
  </si>
  <si>
    <t xml:space="preserve">-GPM Login -Package duration: 6 months -Warranty: 6 months. -Only purchase if you know how to use it, no returns accepted under any circumst…</t>
  </si>
  <si>
    <t xml:space="preserve">cb_6aacd9df5271203cb12d40c9</t>
  </si>
  <si>
    <t xml:space="preserve">⭐ OFFICIAL KEY GPM LOGIN 3 MONTHS full warranty</t>
  </si>
  <si>
    <t xml:space="preserve">cb_6aafd81186b4242014b57f0a</t>
  </si>
  <si>
    <t xml:space="preserve">⭐ Proxyscrape Residential Non-Expiry 100Y full warranty</t>
  </si>
  <si>
    <t xml:space="preserve">ProxyScrape 1GB – Residential proxies, IP rotation, over 200 countries. Suitable for scraping, SEO, automation, and account security. Send c…</t>
  </si>
  <si>
    <t xml:space="preserve">cb_6ab515a2675d4138eb8725a0</t>
  </si>
  <si>
    <t xml:space="preserve">⭐ Railway Hobby Redeem 1 year</t>
  </si>
  <si>
    <t xml:space="preserve">The activation link along with the steps will be sent to you. - No warranty Instructions: 1 - Copy the activation link you received and open…</t>
  </si>
  <si>
    <t xml:space="preserve">ps_6a75800fcf6984bb8b9bdc66</t>
  </si>
  <si>
    <t xml:space="preserve">🎨 Miro Lifetime Panel 100 invite</t>
  </si>
  <si>
    <t xml:space="preserve">Miro</t>
  </si>
  <si>
    <t xml:space="preserve">Absolute Admin Control: You will be the "Owner" and "Admin" of the team, controlling all team settings, member permissions, and project spac…</t>
  </si>
  <si>
    <t xml:space="preserve">cb_6aacdc565271203cb12db0c2</t>
  </si>
  <si>
    <t xml:space="preserve">❤️ Zoom Pro 14 Days full warranty</t>
  </si>
  <si>
    <t xml:space="preserve">Zoom</t>
  </si>
  <si>
    <t xml:space="preserve">Pre-issued Zoom Pro account for 14 days, 100 members, renewed after 14 days, so customers please do not change the password Format: Email|Pa…</t>
  </si>
  <si>
    <t xml:space="preserve">cb_6aacdc645271203cb12db3ff</t>
  </si>
  <si>
    <t xml:space="preserve">❤️ Zoom Pro 28 Days full warranty</t>
  </si>
  <si>
    <t xml:space="preserve">Zoom Pro 100 members 📝 ✨ A FEW IMPORTANT NOTES FOR YOU ✨ Thank you for trusting and upgrading your Zoom account! To ensure your usage is smo…</t>
  </si>
  <si>
    <t xml:space="preserve">cb_6aacd5f15271203cb12c8923</t>
  </si>
  <si>
    <t xml:space="preserve">⭐ Grammarly AI Pro 1 Month full warranty</t>
  </si>
  <si>
    <t xml:space="preserve">Grammarly</t>
  </si>
  <si>
    <r>
      <rPr>
        <sz val="11"/>
        <color rgb="FF37352F"/>
        <rFont val="Noto Sans CJK SC"/>
        <family val="0"/>
        <charset val="1"/>
      </rPr>
      <t xml:space="preserve">Grammarly Pro with AI 1 Month full warranty Format: Email|Pass </t>
    </r>
    <r>
      <rPr>
        <sz val="11"/>
        <color rgb="FF37352F"/>
        <rFont val="WenQuanYi Zen Hei"/>
        <family val="2"/>
        <charset val="1"/>
      </rPr>
      <t xml:space="preserve">・ </t>
    </r>
    <r>
      <rPr>
        <sz val="11"/>
        <color rgb="FF37352F"/>
        <rFont val="Noto Sans CJK SC"/>
        <family val="0"/>
        <charset val="1"/>
      </rPr>
      <t xml:space="preserve">Rewrite entire sentences with just one click </t>
    </r>
    <r>
      <rPr>
        <sz val="11"/>
        <color rgb="FF37352F"/>
        <rFont val="WenQuanYi Zen Hei"/>
        <family val="2"/>
        <charset val="1"/>
      </rPr>
      <t xml:space="preserve">・ </t>
    </r>
    <r>
      <rPr>
        <sz val="11"/>
        <color rgb="FF37352F"/>
        <rFont val="Noto Sans CJK SC"/>
        <family val="0"/>
        <charset val="1"/>
      </rPr>
      <t xml:space="preserve">Easily adjust writing style …</t>
    </r>
  </si>
  <si>
    <t xml:space="preserve">cb_6aad8358a6aee7a7eeaa7561</t>
  </si>
  <si>
    <t xml:space="preserve">⭐ Grammarly Pro 7-14 Days - full warranty</t>
  </si>
  <si>
    <t xml:space="preserve">🚀 GRAMMARLY PRO – Random 7 - 14 DAYS | full warranty 📌 BENEFITS • Full Grammarly Pro features • Rewrite sentences &amp; adjust tone using AI • C…</t>
  </si>
  <si>
    <t xml:space="preserve">mr_linkedin_business_2m</t>
  </si>
  <si>
    <t xml:space="preserve">💼 Linkedin Busines 2m New User</t>
  </si>
  <si>
    <t xml:space="preserve">LinkedIn</t>
  </si>
  <si>
    <t xml:space="preserve">⚡ Works only on new accounts that haven’t used any premium subscription within the last 12 months. ⚡ Vouchers must be activated within 24 ho…</t>
  </si>
  <si>
    <t xml:space="preserve">mr_linkedin-carrers-2m</t>
  </si>
  <si>
    <t xml:space="preserve">💼 Linkedin Career 2m New User</t>
  </si>
  <si>
    <t xml:space="preserve">📌 Requirements &amp; Eligibility: • New accounts only (Must NEVER have had Premium before). • Link Hold time is 12 hour from moment of purchase …</t>
  </si>
  <si>
    <t xml:space="preserve">mr_linkedin_career_3m</t>
  </si>
  <si>
    <t xml:space="preserve">💼 Linkedin Career 3M</t>
  </si>
  <si>
    <t xml:space="preserve">📌 Requirements &amp; Eligibility • LinkedIn account must be at least 28 days old. • Not eligible if you've used a Premium trial before or had Pa…</t>
  </si>
  <si>
    <t xml:space="preserve">cb_6aacda165271203cb12d498c</t>
  </si>
  <si>
    <t xml:space="preserve">⭐ Scribd Premium 1 Month - full warranty</t>
  </si>
  <si>
    <t xml:space="preserve">Scribd</t>
  </si>
  <si>
    <t xml:space="preserve">• Delivery format: Email | Password. Benefits: • Access an additional 4 million+ documents in the Lifestyle &amp; Entertainment category. • Down…</t>
  </si>
  <si>
    <t xml:space="preserve">cb_6aacda205271203cb12d4bce</t>
  </si>
  <si>
    <t xml:space="preserve">⭐ Scribd Slot 1 Download per Day - no warranty</t>
  </si>
  <si>
    <t xml:space="preserve">📚 SCRIBD DOWNLOAD CREDIT • 1 Credit = 1 download of 1 document on Scribd • Customers send the link of the document they need to download • T…</t>
  </si>
  <si>
    <t xml:space="preserve">mr_i_love_pdf</t>
  </si>
  <si>
    <t xml:space="preserve">📄 iLovePdf Premium 1Y</t>
  </si>
  <si>
    <t xml:space="preserve">iLovePDF</t>
  </si>
  <si>
    <t xml:space="preserve">🔻 Full access to all iLovePDF tools 🔻 Unlimited document processing 🔻 Access across Web, Mobile, and Desktop 🔻 Digital Signatures 🔻 Ad-free …</t>
  </si>
  <si>
    <t xml:space="preserve">cb_6aad5401a6aee7a7eea2562b</t>
  </si>
  <si>
    <t xml:space="preserve">⭐ Domo AI 630 credit 7 days warranty 1 day</t>
  </si>
  <si>
    <t xml:space="preserve">Other Products</t>
  </si>
  <si>
    <t xml:space="preserve">Can use 2 Seedance 2.0 720p videos Login email: https://www.domoai.app/create/animate</t>
  </si>
  <si>
    <t xml:space="preserve">cb_6aacdc7b5271203cb12db828</t>
  </si>
  <si>
    <t xml:space="preserve">⭐ Dropshot AI 1 month 24-hour warranty</t>
  </si>
  <si>
    <t xml:space="preserve">600 credit Use login: https://aistudio.dropshot.io/ Can be used for 2 Seedance 15s 480p videos</t>
  </si>
  <si>
    <t xml:space="preserve">mr_factory-12m</t>
  </si>
  <si>
    <t xml:space="preserve">Factory 12m Pro</t>
  </si>
  <si>
    <t xml:space="preserve">⚡ Duration: 12 Month ⚡ Official Coupon Code ⚡ No Warranty After Activation ⚡ On Your Account 📋 &lt;b&gt;Activation &amp; Instructions:&lt;/b&gt; 🚀 How to Re…</t>
  </si>
  <si>
    <t xml:space="preserve">mr_granola</t>
  </si>
  <si>
    <t xml:space="preserve">Granola Business</t>
  </si>
  <si>
    <t xml:space="preserve">⚡ Duration: 12 Month ⚡ Official Coupon Code 🚫 No Warranty After Coupon Activation ⚡ On Your Account 📋 &lt;b&gt;Activation &amp; Instructions:&lt;/b&gt; 💡 Qu…</t>
  </si>
  <si>
    <t xml:space="preserve">mr_gemloop</t>
  </si>
  <si>
    <t xml:space="preserve">Gumloop Pro 12m</t>
  </si>
  <si>
    <t xml:space="preserve">⚡ Duration: 12 Month ⚡ Official Coupon Code 🚫 No Warranty After Coupon Activation ⚡ On Your Account 📋 &lt;b&gt;Activation &amp; Instructions:&lt;/b&gt; 🚀 Ho…</t>
  </si>
  <si>
    <t xml:space="preserve">cb_6aaedac886b4242014992711</t>
  </si>
  <si>
    <t xml:space="preserve">iCloud 2TB Slot – 3 months (full warranty)</t>
  </si>
  <si>
    <t xml:space="preserve">iCloud 2TB – Join Farm (Cheap Price, Huge Storage) • 3-month term product - full warranty Advantages: • 2TB slot to freely store photos, vid…</t>
  </si>
  <si>
    <t xml:space="preserve">mr_jam-team</t>
  </si>
  <si>
    <t xml:space="preserve">Jam Team 10 Seat 12m</t>
  </si>
  <si>
    <t xml:space="preserve">⚡ Duration: 12 Month ⚡ Official Coupon Code ⚡ Full Warranty ⚡ On Your Account ⚠️ Please note that the code must be redeemed within 1 day of …</t>
  </si>
  <si>
    <t xml:space="preserve">cb_6aaba817bb8cc3ed24a7ffcd</t>
  </si>
  <si>
    <t xml:space="preserve">LART AI (seedance) 6k8 credit 1 month warranty 24h</t>
  </si>
  <si>
    <t xml:space="preserve">Login directly via Google Link https://www.lartai.com/</t>
  </si>
  <si>
    <t xml:space="preserve">cb_6aba6cba31a482e3ae2a1dc6</t>
  </si>
  <si>
    <t xml:space="preserve">LartAI 930 Credit 1 Month (No warranty)</t>
  </si>
  <si>
    <t xml:space="preserve">Account https://www.lartai.com/ 930 Credits Create AI videos super fast! ✅ Hot model Seedance 2.5 + Kling 3.0 ✅ Create cinematic, anime vide…</t>
  </si>
  <si>
    <t xml:space="preserve">cb_6ab519b0675d4138eb87ceb7</t>
  </si>
  <si>
    <t xml:space="preserve">Lartai 930 credits 1 month (no warranty)</t>
  </si>
  <si>
    <t xml:space="preserve">https://www.lartai.com/ account 930 Credits Create AI videos super fast! ✅ Hot model Seedance 2.5 + Kling 3.0 ✅ Create cinematic, anime vide…</t>
  </si>
  <si>
    <t xml:space="preserve">mr_linear-business</t>
  </si>
  <si>
    <t xml:space="preserve">Linear Business 12m</t>
  </si>
  <si>
    <t xml:space="preserve">mr_magic-pattern</t>
  </si>
  <si>
    <t xml:space="preserve">Magic Patterns Starter 12m</t>
  </si>
  <si>
    <t xml:space="preserve">mr_mobbin</t>
  </si>
  <si>
    <t xml:space="preserve">Mobbin 10x Seat 12m</t>
  </si>
  <si>
    <t xml:space="preserve">⚡ Duration: 12 Month ⚡ Official Coupon Code 🚫 No Warranty After Coupon Activation ⚡ On Your Account ⚡ 10 seats ⚠️ Please note that the code …</t>
  </si>
  <si>
    <t xml:space="preserve">cb_6aacdcb55271203cb12dc334</t>
  </si>
  <si>
    <t xml:space="preserve">Photoroom Max 7 Days full warranty</t>
  </si>
  <si>
    <t xml:space="preserve">Photoroom 7-day Max package Format: Email|Web mail</t>
  </si>
  <si>
    <t xml:space="preserve">mr_posthog</t>
  </si>
  <si>
    <t xml:space="preserve">PostHog Scale 12m</t>
  </si>
  <si>
    <t xml:space="preserve">⚡ Duration: 12 Month ⚡ Official Coupon Code ⚡ No Warranty ⚡ On Your Account 📋 &lt;b&gt;Activation &amp; Instructions:&lt;/b&gt; 🚀 How to Redeem Your PostHog…</t>
  </si>
  <si>
    <t xml:space="preserve">cb_6a6ea3044e24e64b8f09efa4</t>
  </si>
  <si>
    <t xml:space="preserve">🛡️ Proton Unlimited 1 month - 30 Days warranty</t>
  </si>
  <si>
    <t xml:space="preserve">🔐 Access all premium Proton products ✅Proton VPN ✅Proton Pass ✅Proton Mail ✅Proton Calendar ✅Proton Drive - Order goods - After placing your…</t>
  </si>
  <si>
    <t xml:space="preserve">cb_6aaa2650727e63546ddc485f</t>
  </si>
  <si>
    <t xml:space="preserve">⭐ Seedance 400~600 credit 1 Day - 1H warranty</t>
  </si>
  <si>
    <t xml:space="preserve">Using Seedance 2.5 Seedance 2.0 - Quantity: 400 - 600 credits - Quality: 720p - Live items of the day - Customers, please note to use them s…</t>
  </si>
  <si>
    <t xml:space="preserve">cb_6aa25d496bbf581350b5baa0</t>
  </si>
  <si>
    <t xml:space="preserve">⭐ Seedance 700~1k credit 1 Day - 1H warranty</t>
  </si>
  <si>
    <t xml:space="preserve">Using Seedance 2.5 Seedance 2.0 - Quantity: 700 - 1k credits - Quality: 720p - Live stock for the day - Customers, please note to use it soo…</t>
  </si>
  <si>
    <t xml:space="preserve">mr_supercut</t>
  </si>
  <si>
    <t xml:space="preserve">Supercut Pro 10 Seat 12m</t>
  </si>
  <si>
    <t xml:space="preserve">cb_6aacd3015271203cb12bd914</t>
  </si>
  <si>
    <t xml:space="preserve">Tryclico 2K Credits $19.9 Pro Plan 1 month (12h warranty)</t>
  </si>
  <si>
    <t xml:space="preserve">Tryclico account 2K Credits $19.9 Pro Plan Create super fast AI videos! ✅ Hot models Seedance 2.5 + Kling 3.0 ✅ Create cinematic, anime vide…</t>
  </si>
  <si>
    <t xml:space="preserve">mr_warp-build</t>
  </si>
  <si>
    <t xml:space="preserve">Warp Build 12m</t>
  </si>
  <si>
    <t xml:space="preserve">StackVault — أرشيف ما قبل الهجرة (357 منتجًا مع costPrice · 29-30/09)</t>
  </si>
  <si>
    <t xml:space="preserve">التكلفة $ (مسربة)</t>
  </si>
  <si>
    <t xml:space="preserve">هامش الربح %</t>
  </si>
  <si>
    <t xml:space="preserve">ps_6aacdb525271203cb12d8603</t>
  </si>
  <si>
    <t xml:space="preserve">ps_6aacdb585271203cb12d874c</t>
  </si>
  <si>
    <t xml:space="preserve">ps_6ab4b86471af64b485ebe66c</t>
  </si>
  <si>
    <t xml:space="preserve">(💚So Beautiful) Chatgpt Plus Apple Pay 1 month full warranty</t>
  </si>
  <si>
    <t xml:space="preserve">AI Subscriptions</t>
  </si>
  <si>
    <t xml:space="preserve">ps_6aacd09c5271203cb12b5525</t>
  </si>
  <si>
    <t xml:space="preserve">Design &amp; Editing</t>
  </si>
  <si>
    <t xml:space="preserve">ps_6aaccf715271203cb12b2504</t>
  </si>
  <si>
    <t xml:space="preserve">ps_6aaccf7f5271203cb12b2724</t>
  </si>
  <si>
    <t xml:space="preserve">ps_6aaed84c86b424201498de26</t>
  </si>
  <si>
    <t xml:space="preserve">ps_6aaccf2e5271203cb12b18d2</t>
  </si>
  <si>
    <t xml:space="preserve">ps_6aafeff086b4242014b9880a</t>
  </si>
  <si>
    <t xml:space="preserve">ps_6aaed84586b424201498dd20</t>
  </si>
  <si>
    <t xml:space="preserve">ps_6aaed83986b424201498dc5e</t>
  </si>
  <si>
    <t xml:space="preserve">ps_6aaed83486b424201498dbf4</t>
  </si>
  <si>
    <t xml:space="preserve">ps_6aaed82d86b424201498da8b</t>
  </si>
  <si>
    <t xml:space="preserve">ps_6ab3f5f90944def028bf1fe7</t>
  </si>
  <si>
    <t xml:space="preserve">ps_6aaccfc75271203cb12b3336</t>
  </si>
  <si>
    <t xml:space="preserve">ps_6aaccfe95271203cb12b38b6</t>
  </si>
  <si>
    <t xml:space="preserve">ps_6aaccf435271203cb12b1bd3</t>
  </si>
  <si>
    <t xml:space="preserve">ps_6aafeffb86b4242014b989ee</t>
  </si>
  <si>
    <t xml:space="preserve">ps_6aaccffd5271203cb12b3bba</t>
  </si>
  <si>
    <t xml:space="preserve">ps_6aacd0195271203cb12b4194</t>
  </si>
  <si>
    <t xml:space="preserve">ps_6aaccf535271203cb12b1f8d</t>
  </si>
  <si>
    <t xml:space="preserve">ps_6aaff00486b4242014b98b93</t>
  </si>
  <si>
    <t xml:space="preserve">ps_6aaed82586b424201498d98a</t>
  </si>
  <si>
    <t xml:space="preserve">ps_6aaed81f86b424201498d914</t>
  </si>
  <si>
    <t xml:space="preserve">ps_6aaed81686b424201498d828</t>
  </si>
  <si>
    <t xml:space="preserve">ps_6ab68b00a85f2774f231c8a8</t>
  </si>
  <si>
    <t xml:space="preserve">🎨 ACC CHAT GPT BUSINESS 30 D (1D warranty)</t>
  </si>
  <si>
    <t xml:space="preserve">ps_6ab7992e0f9ff38abc26b66d</t>
  </si>
  <si>
    <t xml:space="preserve">ps_6aacdb5e5271203cb12d8854</t>
  </si>
  <si>
    <t xml:space="preserve">ps_6aacdca45271203cb12dc02d</t>
  </si>
  <si>
    <t xml:space="preserve">ps_6aaff5f386b4242014bac656</t>
  </si>
  <si>
    <t xml:space="preserve">ps_6aacd8895271203cb12cf9f8</t>
  </si>
  <si>
    <t xml:space="preserve">📝 Admin Notion Business 3 months full warranty</t>
  </si>
  <si>
    <t xml:space="preserve">ps_6aacd87f5271203cb12cf805</t>
  </si>
  <si>
    <t xml:space="preserve">📝 Admin Notion Business Team 1 month full warranty</t>
  </si>
  <si>
    <t xml:space="preserve">ps_6aa5594edf59fbc6fe1b7a4b</t>
  </si>
  <si>
    <t xml:space="preserve">ps_6aaccef45271203cb12b0f53</t>
  </si>
  <si>
    <t xml:space="preserve">😎 Adobe Full App Bypass Version 1 Month - full warranty</t>
  </si>
  <si>
    <t xml:space="preserve">ps_6ab4e7b171af64b485f403ce</t>
  </si>
  <si>
    <t xml:space="preserve">ps_6ab2adb0faf5c3c1210e153b</t>
  </si>
  <si>
    <t xml:space="preserve">Streaming</t>
  </si>
  <si>
    <t xml:space="preserve">ps_6aacd2b75271203cb12bcb99</t>
  </si>
  <si>
    <t xml:space="preserve">🤶 API 100M Token Claude 1 Day - full warranty</t>
  </si>
  <si>
    <t xml:space="preserve">ps_6aacd2bd5271203cb12bcd5c</t>
  </si>
  <si>
    <t xml:space="preserve">🤶 API 100M Token Claude 3 Days - full warranty</t>
  </si>
  <si>
    <t xml:space="preserve">ps_6aacd2c55271203cb12bce55</t>
  </si>
  <si>
    <t xml:space="preserve">🤶 API 100M Token Claude 7 Days - full warranty</t>
  </si>
  <si>
    <t xml:space="preserve">ps_6aacd2725271203cb12bbb68</t>
  </si>
  <si>
    <t xml:space="preserve">🤶 API 10M Token Claude 1 Day - full warranty</t>
  </si>
  <si>
    <t xml:space="preserve">ps_6aacd2d95271203cb12bd1b8</t>
  </si>
  <si>
    <t xml:space="preserve">🤶 API 200M Token Claude 1 Day - full warranty</t>
  </si>
  <si>
    <t xml:space="preserve">ps_6aacd29d5271203cb12bc663</t>
  </si>
  <si>
    <t xml:space="preserve">🤶 API 50M Token Claude 1 Day - full warranty</t>
  </si>
  <si>
    <t xml:space="preserve">ps_6aacd3115271203cb12bdabd</t>
  </si>
  <si>
    <t xml:space="preserve">ps_6aacd3255271203cb12bdd46</t>
  </si>
  <si>
    <t xml:space="preserve">ps_6aacd32d5271203cb12bdef8</t>
  </si>
  <si>
    <t xml:space="preserve">ps_6aa7a1fc0e9c83494e664cab</t>
  </si>
  <si>
    <t xml:space="preserve">🤖 API GPT-6-ASTRA 25M 1 day - full warranty</t>
  </si>
  <si>
    <t xml:space="preserve">ps_6aacd0c15271203cb12b5da8</t>
  </si>
  <si>
    <t xml:space="preserve">ps_6aacd0cd5271203cb12b5f84</t>
  </si>
  <si>
    <t xml:space="preserve">ps_6aacd0d05271203cb12b60a4</t>
  </si>
  <si>
    <t xml:space="preserve">ps_6aacd0d95271203cb12b6412</t>
  </si>
  <si>
    <t xml:space="preserve">ps_6aacd0e15271203cb12b6595</t>
  </si>
  <si>
    <t xml:space="preserve">ps_6ab7983c0f9ff38abc268ccb</t>
  </si>
  <si>
    <t xml:space="preserve">mr_brain-fm</t>
  </si>
  <si>
    <t xml:space="preserve">Brain.fm 1 Year</t>
  </si>
  <si>
    <t xml:space="preserve">ps_6ab9f99231a482e3ae149a32</t>
  </si>
  <si>
    <t xml:space="preserve">ps_6ab4fac6c08045e8dd0b18c7</t>
  </si>
  <si>
    <t xml:space="preserve">Chat GPT has been versioned for students for 4 months without warranty</t>
  </si>
  <si>
    <t xml:space="preserve">ps_6ab89f77a83a15aa6f69eee1</t>
  </si>
  <si>
    <t xml:space="preserve">🎨 CHAT GPT PLUS (Pay UPI) 1 month - no warranty</t>
  </si>
  <si>
    <t xml:space="preserve">ps_6ab6b4eca85f2774f238f364</t>
  </si>
  <si>
    <t xml:space="preserve">🎨 CHAT GPT PLUS 1 MONTH WARRANTY 5H</t>
  </si>
  <si>
    <t xml:space="preserve">ps_6ab964a8266735c89784eb24</t>
  </si>
  <si>
    <t xml:space="preserve">🎨 CHAT GPT PLUS 1 MONTH WARRANTY 5H - Pay UPI</t>
  </si>
  <si>
    <t xml:space="preserve">ps_6ab61e0ca85f2774f22069bb</t>
  </si>
  <si>
    <t xml:space="preserve">CHAT GPT PLUS 4-MONTH WARRANTY 24H</t>
  </si>
  <si>
    <t xml:space="preserve">ps_6ab177c5f6d40479fde5c3d2</t>
  </si>
  <si>
    <t xml:space="preserve">🎨 ChatGPT Business Slot full warranty</t>
  </si>
  <si>
    <t xml:space="preserve">ps_6aacd1c95271203cb12b9e53</t>
  </si>
  <si>
    <t xml:space="preserve">🎨 ChatGPT Business slot shared for 1 month with full warranty</t>
  </si>
  <si>
    <t xml:space="preserve">ps_6ab6b4aea85f2774f238e9e3</t>
  </si>
  <si>
    <t xml:space="preserve">ps_6a95b088062fe544328d64aa</t>
  </si>
  <si>
    <t xml:space="preserve">🎨 ChatGPT Gmail FREE 12 months - no warranty</t>
  </si>
  <si>
    <t xml:space="preserve">ps_6abb2c37a3c899e94310692c</t>
  </si>
  <si>
    <t xml:space="preserve">ps_6ab9e31b31a482e3ae10e793</t>
  </si>
  <si>
    <t xml:space="preserve">🎨 ChatGPT Go 1 Month (25-Day Warranty)</t>
  </si>
  <si>
    <t xml:space="preserve">ps_6a980cdf52cbafd47407abdd</t>
  </si>
  <si>
    <t xml:space="preserve">🎨 ChatGPT offers Plus $0 for 1 month - no warranty</t>
  </si>
  <si>
    <t xml:space="preserve">ps_6ab53db6675d4138eb8e5ee8</t>
  </si>
  <si>
    <t xml:space="preserve">🎨 ChatGPT Plus 1 Month (5H warranty)</t>
  </si>
  <si>
    <t xml:space="preserve">ps_6ab7991f0f9ff38abc26b085</t>
  </si>
  <si>
    <t xml:space="preserve">ps_6a97ad61363652072230229d</t>
  </si>
  <si>
    <t xml:space="preserve">🎨 ChatGPT Plus 1 month - 6H warranty</t>
  </si>
  <si>
    <t xml:space="preserve">ps_6ab20f94f6d40479fdf6d6be</t>
  </si>
  <si>
    <t xml:space="preserve">ps_6ab3b8760944def028b4a0ed</t>
  </si>
  <si>
    <t xml:space="preserve">ps_6ab4fae2c08045e8dd0b1dc6</t>
  </si>
  <si>
    <t xml:space="preserve">ps_6ab6685ea85f2774f22c9efb</t>
  </si>
  <si>
    <t xml:space="preserve">🎨 Chatgpt Plus 1 month full warranty</t>
  </si>
  <si>
    <t xml:space="preserve">ps_6ab68b1ea85f2774f231cdcb</t>
  </si>
  <si>
    <t xml:space="preserve">ps_6ab7995b0f9ff38abc26c46e</t>
  </si>
  <si>
    <t xml:space="preserve">ps_6ab7ecf578e9610e9e36cc4d</t>
  </si>
  <si>
    <t xml:space="preserve">ps_6ab8db1ea83a15aa6f73643d</t>
  </si>
  <si>
    <t xml:space="preserve">ps_6ab90476266735c89776aaa0</t>
  </si>
  <si>
    <t xml:space="preserve">ps_6ab9048c266735c89776ad15</t>
  </si>
  <si>
    <t xml:space="preserve">ps_6ab964f0266735c89784f336</t>
  </si>
  <si>
    <t xml:space="preserve">ps_6aba1cc431a482e3ae1b242f</t>
  </si>
  <si>
    <t xml:space="preserve">ps_6aba9c0ba3c899e943fa9299</t>
  </si>
  <si>
    <t xml:space="preserve">🎨 ChatGPT Plus 1 month full warranty</t>
  </si>
  <si>
    <t xml:space="preserve">ps_6abae5d7a3c899e94305cdfd</t>
  </si>
  <si>
    <t xml:space="preserve">ps_6abb80a5dcfd14a98e56ef16</t>
  </si>
  <si>
    <t xml:space="preserve">ps_6ab9e35e31a482e3ae10f32c</t>
  </si>
  <si>
    <t xml:space="preserve">🎨 ChatGPT Plus 1 month Pay UPI - 5 hour warranty</t>
  </si>
  <si>
    <t xml:space="preserve">ps_6ab799440f9ff38abc26bfec</t>
  </si>
  <si>
    <t xml:space="preserve">🎨 CHATGPT PLUS 30 DAYS (7 DAYS warranty)</t>
  </si>
  <si>
    <t xml:space="preserve">ps_6aacd2135271203cb12ba970</t>
  </si>
  <si>
    <t xml:space="preserve">🎨 ChatGPT Plus Account Level 4 4 Months, 2 Months Warranty</t>
  </si>
  <si>
    <t xml:space="preserve">ps_6ab5170e675d4138eb875d14</t>
  </si>
  <si>
    <t xml:space="preserve">🎨 ChatGPT Plus Apple Pay 1 month full warranty</t>
  </si>
  <si>
    <t xml:space="preserve">ps_6ab5181d675d4138eb878e4b</t>
  </si>
  <si>
    <t xml:space="preserve">ps_6ab7d2ab0f9ff38abc2fb8bd</t>
  </si>
  <si>
    <t xml:space="preserve">ChatGPT Plus Apple Pay 1 month full warranty</t>
  </si>
  <si>
    <t xml:space="preserve">ps_6abb80badcfd14a98e56f44d</t>
  </si>
  <si>
    <t xml:space="preserve">ps_6ab6bffda85f2774f23a6f38</t>
  </si>
  <si>
    <t xml:space="preserve">🎨 ChatGPT Plus Apple Pay 30D full warranty</t>
  </si>
  <si>
    <t xml:space="preserve">ps_6ab6bff0a85f2774f23a6dd5</t>
  </si>
  <si>
    <t xml:space="preserve">🎨 ChatGPT Plus Apple Pay Gmail 30D - full warranty</t>
  </si>
  <si>
    <t xml:space="preserve">ps_6ab7997c0f9ff38abc26c7ee</t>
  </si>
  <si>
    <t xml:space="preserve">ps_6ab53dc8675d4138eb8e6214</t>
  </si>
  <si>
    <t xml:space="preserve">🎨 ChatGPT Plus GGPay 30D 24H warranty</t>
  </si>
  <si>
    <t xml:space="preserve">ps_6ab896d3a83a15aa6f68ccf1</t>
  </si>
  <si>
    <t xml:space="preserve">ps_6ab903bd266735c897768c87</t>
  </si>
  <si>
    <t xml:space="preserve">ps_6ab9042f266735c89776a297</t>
  </si>
  <si>
    <t xml:space="preserve">ps_6ab681fba85f2774f2304123</t>
  </si>
  <si>
    <t xml:space="preserve">🎨 ChatGPT Plus Gmail 30D - full warranty</t>
  </si>
  <si>
    <t xml:space="preserve">ps_6ab9044f266735c89776a687</t>
  </si>
  <si>
    <t xml:space="preserve">🎨 ChatGPT Plus Gpay 30D with 5-day warranty</t>
  </si>
  <si>
    <t xml:space="preserve">ps_6aba281931a482e3ae1d6431</t>
  </si>
  <si>
    <t xml:space="preserve">🎨 ChatGPT Plus K12 - 2 years warranty 24H</t>
  </si>
  <si>
    <t xml:space="preserve">ps_6ab8d8b7a83a15aa6f7301ce</t>
  </si>
  <si>
    <t xml:space="preserve">🎨 ChatGPT Plus UPI Domain 1 Month (6H warranty)</t>
  </si>
  <si>
    <t xml:space="preserve">ps_6ab903b0266735c897768a35</t>
  </si>
  <si>
    <t xml:space="preserve">ps_6ab90427266735c89776a146</t>
  </si>
  <si>
    <t xml:space="preserve">🤖 ChatGPT Plus 1 Month (Fast UPI)</t>
  </si>
  <si>
    <t xml:space="preserve">ps_6aba6b6331a482e3ae29c70c</t>
  </si>
  <si>
    <t xml:space="preserve">ps_6ab0a59af6d40479fdc3fe64</t>
  </si>
  <si>
    <t xml:space="preserve">ps_6ab7d2db0f9ff38abc2fc24d</t>
  </si>
  <si>
    <t xml:space="preserve">ps_6aafb5bb86b4242014b026b3</t>
  </si>
  <si>
    <t xml:space="preserve">🎨 ChatGPT Ver Students Plus 4 months no warranty</t>
  </si>
  <si>
    <t xml:space="preserve">ps_6ab3cd8f0944def028b821c6</t>
  </si>
  <si>
    <t xml:space="preserve">ps_6ab3cda40944def028b82961</t>
  </si>
  <si>
    <t xml:space="preserve">ps_6ab61e2fa85f2774f2206f5d</t>
  </si>
  <si>
    <t xml:space="preserve">ps_6aacd5ae5271203cb12c7e78</t>
  </si>
  <si>
    <t xml:space="preserve">Learning</t>
  </si>
  <si>
    <t xml:space="preserve">ps_6aacd3515271203cb12be616</t>
  </si>
  <si>
    <t xml:space="preserve">ps_6aacd3535271203cb12be6a2</t>
  </si>
  <si>
    <t xml:space="preserve">ps_6ab8a369a83a15aa6f6a60dc</t>
  </si>
  <si>
    <t xml:space="preserve">ps_6ab8a384a83a15aa6f6a64b3</t>
  </si>
  <si>
    <t xml:space="preserve">ps_6ab8a370a83a15aa6f6a61f9</t>
  </si>
  <si>
    <t xml:space="preserve">ps_6ab8a37ba83a15aa6f6a6343</t>
  </si>
  <si>
    <t xml:space="preserve">ps_6aaed87e86b424201498e3f2</t>
  </si>
  <si>
    <t xml:space="preserve">ps_6aaed88586b424201498e464</t>
  </si>
  <si>
    <t xml:space="preserve">ps_6aaed88c86b424201498e54d</t>
  </si>
  <si>
    <t xml:space="preserve">ps_6aaed89386b424201498e643</t>
  </si>
  <si>
    <t xml:space="preserve">ps_6aacd3585271203cb12be735</t>
  </si>
  <si>
    <t xml:space="preserve">ps_6aacd35e5271203cb12be8f7</t>
  </si>
  <si>
    <t xml:space="preserve">ps_6aacd3685271203cb12bea4e</t>
  </si>
  <si>
    <t xml:space="preserve">ps_6aaed87186b424201498e2bf</t>
  </si>
  <si>
    <t xml:space="preserve">ps_6aacd3835271203cb12bf0f9</t>
  </si>
  <si>
    <t xml:space="preserve">ps_6aacd3895271203cb12bf27d</t>
  </si>
  <si>
    <t xml:space="preserve">ps_6aaed87886b424201498e359</t>
  </si>
  <si>
    <t xml:space="preserve">ps_6aacd3975271203cb12bf77d</t>
  </si>
  <si>
    <t xml:space="preserve">ps_6aacd39b5271203cb12bf8ef</t>
  </si>
  <si>
    <t xml:space="preserve">ps_6aad5401a6aee7a7eea2562b</t>
  </si>
  <si>
    <t xml:space="preserve">ps_6aacdc7b5271203cb12db828</t>
  </si>
  <si>
    <t xml:space="preserve">ps_6ab8173367d72e6ef6462850</t>
  </si>
  <si>
    <t xml:space="preserve">🦉 Duolingo 12M new method</t>
  </si>
  <si>
    <t xml:space="preserve">ps_6aacd3d35271203cb12c0abe</t>
  </si>
  <si>
    <t xml:space="preserve">ps_6aacd4115271203cb12c25c1</t>
  </si>
  <si>
    <t xml:space="preserve">ps_6aacd3f05271203cb12c1565</t>
  </si>
  <si>
    <t xml:space="preserve">ps_6ab68c9aa85f2774f232114b</t>
  </si>
  <si>
    <t xml:space="preserve">ps_6aa9fcbb22a97e6cc92dec39</t>
  </si>
  <si>
    <t xml:space="preserve">🎙️ Elevenlabs Creator 121k Credits 30D full warranty</t>
  </si>
  <si>
    <t xml:space="preserve">ps_6ab68c88a85f2774f2320d0e</t>
  </si>
  <si>
    <t xml:space="preserve">🎙️ ElevenLabs Redeem 100K Credit</t>
  </si>
  <si>
    <t xml:space="preserve">ps_6aacd49b5271203cb12c4a74</t>
  </si>
  <si>
    <t xml:space="preserve">ps_6aaed9b386b424201499074b</t>
  </si>
  <si>
    <t xml:space="preserve">ps_6aacdc775271203cb12db78d</t>
  </si>
  <si>
    <t xml:space="preserve">📦 Flux 03 1 month warranty 24h</t>
  </si>
  <si>
    <t xml:space="preserve">ps_6aacd4f15271203cb12c608b</t>
  </si>
  <si>
    <t xml:space="preserve">ps_6aacd4f65271203cb12c613b</t>
  </si>
  <si>
    <t xml:space="preserve">ps_6aacd5025271203cb12c63ea</t>
  </si>
  <si>
    <t xml:space="preserve">ps_6aaff33086b4242014ba2470</t>
  </si>
  <si>
    <t xml:space="preserve">ps_6aaff33686b4242014ba2616</t>
  </si>
  <si>
    <t xml:space="preserve">ps_6aaff34186b4242014ba28c3</t>
  </si>
  <si>
    <t xml:space="preserve">ps_6aacd50b5271203cb12c6596</t>
  </si>
  <si>
    <t xml:space="preserve">ps_6aacd5135271203cb12c66ba</t>
  </si>
  <si>
    <t xml:space="preserve">ps_6ab2116cf6d40479fdf71bb8</t>
  </si>
  <si>
    <t xml:space="preserve">😶‍🌫️ Genuine Windows 10/11 Pro Key 20Y with 1Y warranty</t>
  </si>
  <si>
    <t xml:space="preserve">Software Keys</t>
  </si>
  <si>
    <t xml:space="preserve">ps_6aacd3715271203cb12bec9c</t>
  </si>
  <si>
    <t xml:space="preserve">ps_6ab49dc371af64b485e75711</t>
  </si>
  <si>
    <t xml:space="preserve">ps_6aa40d9ea65b365f0f52981a</t>
  </si>
  <si>
    <t xml:space="preserve">ps_6aba21d231a482e3ae1c295e</t>
  </si>
  <si>
    <t xml:space="preserve">ps_6ab3ee4a0944def028bdb63c</t>
  </si>
  <si>
    <t xml:space="preserve">ps_6a9e2f55520493a74044fd03</t>
  </si>
  <si>
    <t xml:space="preserve">ps_6ab7ef1578e9610e9e371b86</t>
  </si>
  <si>
    <t xml:space="preserve">ps_6ab4fd13c08045e8dd0b9143</t>
  </si>
  <si>
    <t xml:space="preserve">ps_6aa7e0491c2a8212a2fbe18a</t>
  </si>
  <si>
    <t xml:space="preserve">ps_6ab4fd0ac08045e8dd0b8f0f</t>
  </si>
  <si>
    <t xml:space="preserve">ps_6a9f199a4f6e4dbc770d3fcf</t>
  </si>
  <si>
    <t xml:space="preserve">ps_6ab9657f266735c8978504f6</t>
  </si>
  <si>
    <t xml:space="preserve">ps_6aacd58c5271203cb12c79b3</t>
  </si>
  <si>
    <t xml:space="preserve">ps_6ab812d3a83a15aa6f5c4861</t>
  </si>
  <si>
    <t xml:space="preserve">🎨 GPT PLUS APPLE 30D not under warranty</t>
  </si>
  <si>
    <t xml:space="preserve">ps_6ab812caa83a15aa6f5c47b9</t>
  </si>
  <si>
    <t xml:space="preserve">🎨 GPT PLUS APPLE/GGPAY 30D no warranty</t>
  </si>
  <si>
    <t xml:space="preserve">ps_6aba6b9331a482e3ae29d14b</t>
  </si>
  <si>
    <t xml:space="preserve">ps_6ab53f26675d4138eb8ea348</t>
  </si>
  <si>
    <t xml:space="preserve">GPT Plus Level 4 2-month warranty</t>
  </si>
  <si>
    <t xml:space="preserve">ps_6ab7ed4378e9610e9e36d783</t>
  </si>
  <si>
    <t xml:space="preserve">ps_6aa7a1a40e9c83494e6637a1</t>
  </si>
  <si>
    <t xml:space="preserve">🤖 GPT-6-ASTRA API 10M 1 day - full warranty</t>
  </si>
  <si>
    <t xml:space="preserve">ps_6aacd5f15271203cb12c8923</t>
  </si>
  <si>
    <t xml:space="preserve">ps_6aacd5ec5271203cb12c8828</t>
  </si>
  <si>
    <t xml:space="preserve">⭐ Grammarly Pro 10 Days - full warranty</t>
  </si>
  <si>
    <t xml:space="preserve">ps_6aad8358a6aee7a7eeaa7561</t>
  </si>
  <si>
    <t xml:space="preserve">mr_grok-bot</t>
  </si>
  <si>
    <t xml:space="preserve">🖱️ Grok Bot (Cursor Pro+)</t>
  </si>
  <si>
    <t xml:space="preserve">ps_6ab21249f6d40479fdf73f56</t>
  </si>
  <si>
    <t xml:space="preserve">🎥 HEYGEN CREATOR 1 THÁNG ( warranty 1 ngày)</t>
  </si>
  <si>
    <t xml:space="preserve">ps_6a915767a0ab487671128bb5</t>
  </si>
  <si>
    <t xml:space="preserve">ps_6aacd7a65271203cb12cd171</t>
  </si>
  <si>
    <t xml:space="preserve">ps_6aacdca95271203cb12dc135</t>
  </si>
  <si>
    <t xml:space="preserve">ps_6aaedac886b4242014992711</t>
  </si>
  <si>
    <t xml:space="preserve">ps_6aacdcad5271203cb12dc1c3</t>
  </si>
  <si>
    <t xml:space="preserve">ps_6ab5189b675d4138eb87a992</t>
  </si>
  <si>
    <t xml:space="preserve">ps_6aacd6695271203cb12c990a</t>
  </si>
  <si>
    <t xml:space="preserve">ps_6aacd6715271203cb12c9b83</t>
  </si>
  <si>
    <t xml:space="preserve">ps_6aacd6585271203cb12c9533</t>
  </si>
  <si>
    <t xml:space="preserve">ps_6aacd6605271203cb12c96d7</t>
  </si>
  <si>
    <t xml:space="preserve">ps_6ab68e38a85f2774f232530f</t>
  </si>
  <si>
    <t xml:space="preserve">ps_6aacd64b5271203cb12c93d8</t>
  </si>
  <si>
    <t xml:space="preserve">ps_6ab8a235a83a15aa6f6a3b7b</t>
  </si>
  <si>
    <t xml:space="preserve">Kiro Code 1000 Credit 1 month warranty 24h</t>
  </si>
  <si>
    <t xml:space="preserve">ps_6ab8a21da83a15aa6f6a39dd</t>
  </si>
  <si>
    <t xml:space="preserve">Kiro Coupon Link – 1,000 Credits | 36 days (24H warranty)</t>
  </si>
  <si>
    <t xml:space="preserve">ps_6ab27a362d45b71acbe91f6f</t>
  </si>
  <si>
    <t xml:space="preserve">ps_6aacd6bf5271203cb12ca92e</t>
  </si>
  <si>
    <t xml:space="preserve">ps_6ab519b0675d4138eb87ceb7</t>
  </si>
  <si>
    <t xml:space="preserve">ps_6ab7ebbb78e9610e9e3689fc</t>
  </si>
  <si>
    <t xml:space="preserve">ps_6ab11eedf6d40479fdd78ef8</t>
  </si>
  <si>
    <t xml:space="preserve">ps_6ab519c4675d4138eb87d1ec</t>
  </si>
  <si>
    <t xml:space="preserve">💼 LinkedIn Premium Career Code 3 Months no warranty</t>
  </si>
  <si>
    <t xml:space="preserve">mr_lovable-1m</t>
  </si>
  <si>
    <t xml:space="preserve">⭐ Lovable Pro 1M 220 Creds</t>
  </si>
  <si>
    <t xml:space="preserve">mr_manus-pro</t>
  </si>
  <si>
    <t xml:space="preserve">Manus Pro 12m</t>
  </si>
  <si>
    <t xml:space="preserve">ps_6aaed97086b424201498ff63</t>
  </si>
  <si>
    <t xml:space="preserve">ps_6aacd79a5271203cb12cceca</t>
  </si>
  <si>
    <t xml:space="preserve">ps_6aacd7a15271203cb12cd054</t>
  </si>
  <si>
    <t xml:space="preserve">ps_6aacd7ad5271203cb12cd2ca</t>
  </si>
  <si>
    <t xml:space="preserve">ps_6aacd7ed5271203cb12cdaac</t>
  </si>
  <si>
    <t xml:space="preserve">ps_6ab38ed80944def028ad93b1</t>
  </si>
  <si>
    <t xml:space="preserve">ps_6a9f1a384f6e4dbc770d4a82</t>
  </si>
  <si>
    <t xml:space="preserve">😶‍🌫️ Microsoft Office 365 Family Admin 1 Month - full warranty</t>
  </si>
  <si>
    <t xml:space="preserve">ps_6aacd8005271203cb12cdd91</t>
  </si>
  <si>
    <t xml:space="preserve">ps_6aacd7f65271203cb12cdc26</t>
  </si>
  <si>
    <t xml:space="preserve">ps_6ab51a75675d4138eb87ee7a</t>
  </si>
  <si>
    <t xml:space="preserve">ps_6aacd8385271203cb12cec3c</t>
  </si>
  <si>
    <t xml:space="preserve">ps_6aacd8425271203cb12cee41</t>
  </si>
  <si>
    <t xml:space="preserve">ps_6ab160b4f6d40479fde28a99</t>
  </si>
  <si>
    <t xml:space="preserve">📦 NORD VPN Androi/PC/IOS 10 thiết bị 3 tháng full warranty</t>
  </si>
  <si>
    <t xml:space="preserve">ps_6aaedc6786b4242014995522</t>
  </si>
  <si>
    <t xml:space="preserve">ps_6ab68f6ea85f2774f2328564</t>
  </si>
  <si>
    <t xml:space="preserve">📦 Nord VPN Slot And/PC/IOS 3 months full warranty</t>
  </si>
  <si>
    <t xml:space="preserve">ps_6aacd8505271203cb12cf144</t>
  </si>
  <si>
    <t xml:space="preserve">ps_6aacdcb15271203cb12dc2b7</t>
  </si>
  <si>
    <t xml:space="preserve">ps_6aacd8a15271203cb12cfe4b</t>
  </si>
  <si>
    <t xml:space="preserve">📝 Notion Business Code 3 months full warranty</t>
  </si>
  <si>
    <t xml:space="preserve">mr_notion-edu-plus</t>
  </si>
  <si>
    <t xml:space="preserve">📝 Notion Edu Plus Account</t>
  </si>
  <si>
    <t xml:space="preserve">ps_6aacd8a85271203cb12cfff8</t>
  </si>
  <si>
    <t xml:space="preserve">📝 Notion Plus Education 2 years warranty 1 year</t>
  </si>
  <si>
    <t xml:space="preserve">ps_6a9ff382b0f7cc5080131ea8</t>
  </si>
  <si>
    <t xml:space="preserve">ps_6ab4fdb9c08045e8dd0bb277</t>
  </si>
  <si>
    <t xml:space="preserve">ps_6aacd9f95271203cb12d44cf</t>
  </si>
  <si>
    <t xml:space="preserve">ps_6ab4fdcac08045e8dd0bb822</t>
  </si>
  <si>
    <t xml:space="preserve">ps_6aacd9df5271203cb12d40c9</t>
  </si>
  <si>
    <t xml:space="preserve">ps_6aaff3ae86b4242014ba4024</t>
  </si>
  <si>
    <t xml:space="preserve">ps_6a1d1cdc46c5d0dca059d448</t>
  </si>
  <si>
    <t xml:space="preserve">Bulk Emails</t>
  </si>
  <si>
    <t xml:space="preserve">ps_6aacdcb55271203cb12dc334</t>
  </si>
  <si>
    <t xml:space="preserve">ps_6aacdce15271203cb12dcb51</t>
  </si>
  <si>
    <t xml:space="preserve">ps_6aacdcb95271203cb12dc39b</t>
  </si>
  <si>
    <t xml:space="preserve">ps_6a6ea3044e24e64b8f09efa4</t>
  </si>
  <si>
    <t xml:space="preserve">ps_6aafd81186b4242014b57f0a</t>
  </si>
  <si>
    <t xml:space="preserve">ps_6aacdcbd5271203cb12dc49d</t>
  </si>
  <si>
    <t xml:space="preserve">ps_6aacd9a35271203cb12d352c</t>
  </si>
  <si>
    <t xml:space="preserve">ps_6aacd9ac5271203cb12d36f9</t>
  </si>
  <si>
    <t xml:space="preserve">ps_6aacd9a95271203cb12d3650</t>
  </si>
  <si>
    <t xml:space="preserve">ps_6ab515a2675d4138eb8725a0</t>
  </si>
  <si>
    <t xml:space="preserve">ps_6aacd20d5271203cb12ba865</t>
  </si>
  <si>
    <t xml:space="preserve">🎨 Renew official ChatGPT Plus for 30 days with full warranty</t>
  </si>
  <si>
    <t xml:space="preserve">ps_6ab9cdb331a482e3ae0d786c</t>
  </si>
  <si>
    <t xml:space="preserve">mr_resend-pro</t>
  </si>
  <si>
    <t xml:space="preserve">Resend Pro 12m</t>
  </si>
  <si>
    <t xml:space="preserve">ps_6aa3b0e40de12c6992dc15c8</t>
  </si>
  <si>
    <t xml:space="preserve">📦 Runway Max 10100-10300 credit 1 month, 1-day warranty</t>
  </si>
  <si>
    <t xml:space="preserve">ps_6aa557a7df59fbc6fe1b391f</t>
  </si>
  <si>
    <t xml:space="preserve">📦 Runway Max 10300 credit 1 month no warranty</t>
  </si>
  <si>
    <t xml:space="preserve">ps_6aa7d6f81c2a8212a2fa9d43</t>
  </si>
  <si>
    <t xml:space="preserve">📦 Runway Max 13300-13700 credit 1 month 1 day warranty</t>
  </si>
  <si>
    <t xml:space="preserve">ps_6aa779b70a3d7ed7f9779805</t>
  </si>
  <si>
    <t xml:space="preserve">📦 Runway Max 14.4-15k credit 1 month warranty 1 day</t>
  </si>
  <si>
    <t xml:space="preserve">ps_6aa557c7df59fbc6fe1b3fb8</t>
  </si>
  <si>
    <t xml:space="preserve">📦 Runway Max 17k credit 1 month warranty 1 day</t>
  </si>
  <si>
    <t xml:space="preserve">ps_6aa7d7041c2a8212a2fa9f20</t>
  </si>
  <si>
    <t xml:space="preserve">📦 Runway Max 22.6-22.9k credit 1 month warranty 1 day</t>
  </si>
  <si>
    <t xml:space="preserve">ps_6ab20ed9f6d40479fdf6be8b</t>
  </si>
  <si>
    <t xml:space="preserve">📦 RUNWAY MAX 9500 credit 1 month warranty 2D</t>
  </si>
  <si>
    <t xml:space="preserve">ps_6aa39b880de12c6992d94d0e</t>
  </si>
  <si>
    <t xml:space="preserve">📦 Runway Pro 3100 credit 1 month warranty 1 day</t>
  </si>
  <si>
    <t xml:space="preserve">ps_6aacda165271203cb12d498c</t>
  </si>
  <si>
    <t xml:space="preserve">ps_6aacda205271203cb12d4bce</t>
  </si>
  <si>
    <t xml:space="preserve">ps_6aaa2650727e63546ddc485f</t>
  </si>
  <si>
    <t xml:space="preserve">ps_6aa25d496bbf581350b5baa0</t>
  </si>
  <si>
    <t xml:space="preserve">ps_6aacd3a65271203cb12bfc68</t>
  </si>
  <si>
    <t xml:space="preserve">ps_6aacd3aa5271203cb12bfdac</t>
  </si>
  <si>
    <t xml:space="preserve">ps_6ab9647a266735c89784e6b4</t>
  </si>
  <si>
    <t xml:space="preserve">ps_6aacdcee5271203cb12dcd4a</t>
  </si>
  <si>
    <t xml:space="preserve">ps_6aacd5d65271203cb12c84b4</t>
  </si>
  <si>
    <t xml:space="preserve">📦 SLOT GEMINI PRO + GG 5TB 12 MONTHS full warranty</t>
  </si>
  <si>
    <t xml:space="preserve">ps_6aadfe9aa6aee7a7eeb49c8b</t>
  </si>
  <si>
    <t xml:space="preserve">Slot GPT Business can be extended by 1 month with full warranty</t>
  </si>
  <si>
    <t xml:space="preserve">ps_6ab8a1e1a83a15aa6f6a31dd</t>
  </si>
  <si>
    <t xml:space="preserve">ps_6aacd8b15271203cb12d00f3</t>
  </si>
  <si>
    <t xml:space="preserve">📝 Slot Notion Business has an official AI with a full 1-month warranty</t>
  </si>
  <si>
    <t xml:space="preserve">ps_6aacd8cb5271203cb12d05bb</t>
  </si>
  <si>
    <t xml:space="preserve">📝 Slot Notion Business has an official AI with a full 3-month warranty</t>
  </si>
  <si>
    <t xml:space="preserve">ps_6aacda4e5271203cb12d5388</t>
  </si>
  <si>
    <t xml:space="preserve">ps_6ab69029a85f2774f232a383</t>
  </si>
  <si>
    <t xml:space="preserve">ps_6ab7f05478e9610e9e3746a0</t>
  </si>
  <si>
    <t xml:space="preserve">🚀 SUPER Grok 7 days warranty 5 days</t>
  </si>
  <si>
    <t xml:space="preserve">ps_6ab7f05d78e9610e9e37483c</t>
  </si>
  <si>
    <t xml:space="preserve">🚀 SUPER Grok (7 Days Access)</t>
  </si>
  <si>
    <t xml:space="preserve">ps_6ab55401675d4138eb925738</t>
  </si>
  <si>
    <t xml:space="preserve">ps_6aacda665271203cb12d5886</t>
  </si>
  <si>
    <t xml:space="preserve">ps_6aacda6a5271203cb12d596e</t>
  </si>
  <si>
    <t xml:space="preserve">ps_6aacdadc5271203cb12d6ff3</t>
  </si>
  <si>
    <t xml:space="preserve">ps_6aacdad45271203cb12d6e88</t>
  </si>
  <si>
    <t xml:space="preserve">ps_6aacdaef5271203cb12d74e5</t>
  </si>
  <si>
    <t xml:space="preserve">ps_6ab51b71675d4138eb881393</t>
  </si>
  <si>
    <t xml:space="preserve">ps_6aa5589ddf59fbc6fe1b63bf</t>
  </si>
  <si>
    <t xml:space="preserve">ps_6aacdaa75271203cb12d6465</t>
  </si>
  <si>
    <t xml:space="preserve">ps_6aacdab75271203cb12d684e</t>
  </si>
  <si>
    <t xml:space="preserve">ps_6ab51b6c675d4138eb881317</t>
  </si>
  <si>
    <t xml:space="preserve">ps_6a8ea96b5bc0bcbeeccd30a6</t>
  </si>
  <si>
    <t xml:space="preserve">ps_6aacdabf5271203cb12d69a1</t>
  </si>
  <si>
    <t xml:space="preserve">ps_6aacdac45271203cb12d6b82</t>
  </si>
  <si>
    <t xml:space="preserve">ps_6aacd3015271203cb12bd914</t>
  </si>
  <si>
    <t xml:space="preserve">ps_6ab6904ba85f2774f232a9c8</t>
  </si>
  <si>
    <t xml:space="preserve">ps_6ab39f980944def028b09eac</t>
  </si>
  <si>
    <t xml:space="preserve">ps_6aaff3b486b4242014ba417a</t>
  </si>
  <si>
    <t xml:space="preserve">ps_6aa55831df59fbc6fe1b512b</t>
  </si>
  <si>
    <t xml:space="preserve">ps_6a90505c184cbca61b6b3925</t>
  </si>
  <si>
    <t xml:space="preserve">ps_6a9050e4184cbca61b6b49d9</t>
  </si>
  <si>
    <t xml:space="preserve">ps_6aacdc565271203cb12db0c2</t>
  </si>
  <si>
    <t xml:space="preserve">ps_6aacdc645271203cb12db3ff</t>
  </si>
  <si>
    <t xml:space="preserve">ps_6ab68a99a85f2774f231b766</t>
  </si>
  <si>
    <t xml:space="preserve">ps_6ab68a8da85f2774f231b4dc</t>
  </si>
  <si>
    <t xml:space="preserve">ps_6ab689f9a85f2774f2319ed2</t>
  </si>
  <si>
    <t xml:space="preserve">ps_6ab68a71a85f2774f231b171</t>
  </si>
  <si>
    <t xml:space="preserve">ps_6ab68a04a85f2774f231a046</t>
  </si>
  <si>
    <t xml:space="preserve">ps_6ab68a62a85f2774f231af88</t>
  </si>
  <si>
    <t xml:space="preserve">ps_6ab68a12a85f2774f231a207</t>
  </si>
  <si>
    <t xml:space="preserve">ps_6aacdcf25271203cb12dcdac</t>
  </si>
  <si>
    <t xml:space="preserve">🔑 Microsoft Office 2024 Pro key, 10 years warranty, 1 year guarantee</t>
  </si>
  <si>
    <t xml:space="preserve">ps_6aacdd2a5271203cb12dd6aa</t>
  </si>
  <si>
    <t xml:space="preserve">🔑 Windows 10/11 Pro Key 20 years warranty 1 year</t>
  </si>
  <si>
    <t xml:space="preserve">ps_6aacd9875271203cb12d2ead</t>
  </si>
  <si>
    <t xml:space="preserve">ps_6ab360810944def028a5fa48</t>
  </si>
  <si>
    <t xml:space="preserve">🍀ChatGPT Plus Apple Pay 30D full warranty</t>
  </si>
  <si>
    <t xml:space="preserve">ps_6ab9007d4c11d8b05743260b</t>
  </si>
  <si>
    <t xml:space="preserve">ps_6ab9046e266735c89776a98c</t>
  </si>
  <si>
    <t xml:space="preserve">ps_6ab964e4266735c89784f253</t>
  </si>
  <si>
    <t xml:space="preserve">ps_6ab3a1be0944def028b0f48e</t>
  </si>
  <si>
    <t xml:space="preserve">🔥ChatGPT Plus Applepay 1 month full warranty</t>
  </si>
  <si>
    <t xml:space="preserve">ps_6ab68b17a85f2774f231ccc0</t>
  </si>
  <si>
    <t xml:space="preserve">🔥ChatGPT Plus Gmail 30D - full warranty</t>
  </si>
  <si>
    <t xml:space="preserve">ps_6ab3b8830944def028b4a278</t>
  </si>
  <si>
    <t xml:space="preserve">🔥ChatGPT Plus VIP 1 month full warranty</t>
  </si>
  <si>
    <t xml:space="preserve">ps_6ab799650f9ff38abc26c5a0</t>
  </si>
  <si>
    <t xml:space="preserve">🔥Chatgpt Plus Vipp 1 month full warranty</t>
  </si>
  <si>
    <t xml:space="preserve">ps_6ab51740675d4138eb8764a5</t>
  </si>
  <si>
    <t xml:space="preserve">ps_6ab51747675d4138eb8765ac</t>
  </si>
  <si>
    <t xml:space="preserve">ps_6aacd81e5271203cb12ce751</t>
  </si>
  <si>
    <t xml:space="preserve">ps_6aacd8245271203cb12ce949</t>
  </si>
  <si>
    <t xml:space="preserve">ps_6aacd8295271203cb12ce9f3</t>
  </si>
  <si>
    <t xml:space="preserve">الكيانات الخارجية — الكتالوجات المسحوبة بالمفاتيح (473 سجلًا · 9 كيانات)</t>
  </si>
  <si>
    <t xml:space="preserve">النوع/الفئة</t>
  </si>
  <si>
    <t xml:space="preserve">ملاحظة</t>
  </si>
  <si>
    <t xml:space="preserve">ProdSeller</t>
  </si>
  <si>
    <t xml:space="preserve">6a612473af18a2a83bc049a0</t>
  </si>
  <si>
    <t xml:space="preserve">Gmails Accounts</t>
  </si>
  <si>
    <t xml:space="preserve">publicPrice: $0.65 · بيع: 798</t>
  </si>
  <si>
    <t xml:space="preserve">6a6207cf92969197bb382958</t>
  </si>
  <si>
    <t xml:space="preserve">iLovePdf Premium 1Yr</t>
  </si>
  <si>
    <t xml:space="preserve">publicPrice: $0.49 · بيع: 665</t>
  </si>
  <si>
    <t xml:space="preserve">6a5b873847b606c66fc160b2</t>
  </si>
  <si>
    <t xml:space="preserve">Adobe Express 12M</t>
  </si>
  <si>
    <t xml:space="preserve">publicPrice: $0.39 · بيع: 752</t>
  </si>
  <si>
    <t xml:space="preserve">6a2fda51035a6d898f2106fe</t>
  </si>
  <si>
    <t xml:space="preserve">Capcut Pro 1 Month FW</t>
  </si>
  <si>
    <t xml:space="preserve">publicPrice: $1.29 · بيع: 18548</t>
  </si>
  <si>
    <t xml:space="preserve">6a2fe23a1c8697b163aedcbd</t>
  </si>
  <si>
    <t xml:space="preserve">Microsoft Office 365 Plus 1 year</t>
  </si>
  <si>
    <t xml:space="preserve">publicPrice: $0.29 · بيع: 5261</t>
  </si>
  <si>
    <t xml:space="preserve">6a2fdb4f035a6d898f2106ff</t>
  </si>
  <si>
    <t xml:space="preserve">Canva Pro Admin (500 invitations)</t>
  </si>
  <si>
    <t xml:space="preserve">publicPrice: $2.9 · بيع: 266</t>
  </si>
  <si>
    <t xml:space="preserve">6a31035939dc014325da2c66</t>
  </si>
  <si>
    <t xml:space="preserve">Gemini Pro 18Months (link)</t>
  </si>
  <si>
    <t xml:space="preserve">publicPrice: $0.65 · بيع: 223803</t>
  </si>
  <si>
    <t xml:space="preserve">6a316a7b1777fc2347835653</t>
  </si>
  <si>
    <t xml:space="preserve">Canva Pro 2 yrs FW</t>
  </si>
  <si>
    <t xml:space="preserve">publicPrice: $0.6 · بيع: 912</t>
  </si>
  <si>
    <t xml:space="preserve">6a3d636221735658e32bd2a6</t>
  </si>
  <si>
    <t xml:space="preserve">Prime Video 6 Months </t>
  </si>
  <si>
    <t xml:space="preserve">publicPrice: $1.7 · بيع: 253</t>
  </si>
  <si>
    <t xml:space="preserve">6a54b931351561c645a43e8c</t>
  </si>
  <si>
    <t xml:space="preserve">Notion Plus 12M</t>
  </si>
  <si>
    <t xml:space="preserve">publicPrice: $1.3 · بيع: 475</t>
  </si>
  <si>
    <t xml:space="preserve">6a4bf6b502999800df9660b1</t>
  </si>
  <si>
    <t xml:space="preserve">Capcut Pro 7D FW</t>
  </si>
  <si>
    <t xml:space="preserve">publicPrice: $0.14 · بيع: 3220</t>
  </si>
  <si>
    <t xml:space="preserve">6a495a5f02999800df961920</t>
  </si>
  <si>
    <t xml:space="preserve">ChatGPT Plus K12 Edu 2 years</t>
  </si>
  <si>
    <t xml:space="preserve">publicPrice: $3.5 · بيع: 1568</t>
  </si>
  <si>
    <t xml:space="preserve">6a75800fcf6984bb8b9bdc66</t>
  </si>
  <si>
    <t xml:space="preserve">Miro Lifetime Panel 100 invite</t>
  </si>
  <si>
    <t xml:space="preserve">publicPrice: $9.0 · بيع: 17</t>
  </si>
  <si>
    <t xml:space="preserve">6a7826d9cf6984bb8ba101e8</t>
  </si>
  <si>
    <t xml:space="preserve">Figma Pro Edu 2yrs</t>
  </si>
  <si>
    <t xml:space="preserve">publicPrice: $3.6 · بيع: 139</t>
  </si>
  <si>
    <t xml:space="preserve">6a7e3ab79c0c1126fff286f0</t>
  </si>
  <si>
    <t xml:space="preserve">CAPCUT PRO 6 MONTHS </t>
  </si>
  <si>
    <t xml:space="preserve">publicPrice: $8.9 · بيع: 631</t>
  </si>
  <si>
    <t xml:space="preserve">6a820a0b969a9635841ddb30</t>
  </si>
  <si>
    <t xml:space="preserve">publicPrice: $1.3 · بيع: 251</t>
  </si>
  <si>
    <t xml:space="preserve">6a8834a1fb032a732128e7bc</t>
  </si>
  <si>
    <t xml:space="preserve">Avira Prime 3 Months </t>
  </si>
  <si>
    <t xml:space="preserve">publicPrice: $0.9 · بيع: 33</t>
  </si>
  <si>
    <t xml:space="preserve">6a88be06fb032a73212a202b</t>
  </si>
  <si>
    <t xml:space="preserve">JetBrains Edu Pack 12m</t>
  </si>
  <si>
    <t xml:space="preserve">publicPrice: $3.0 · بيع: 34</t>
  </si>
  <si>
    <t xml:space="preserve">6a8ad927f870e3b3430c7b18</t>
  </si>
  <si>
    <t xml:space="preserve">Framer AI 1 Year </t>
  </si>
  <si>
    <t xml:space="preserve">publicPrice: $6.0 · بيع: 16</t>
  </si>
  <si>
    <t xml:space="preserve">6a9008ee63bcf8795dfebd88</t>
  </si>
  <si>
    <t xml:space="preserve">Autodesk Admin 3000 invite</t>
  </si>
  <si>
    <t xml:space="preserve">publicPrice: $11.0 · بيع: 35</t>
  </si>
  <si>
    <t xml:space="preserve">6a93e9fdd46143eb34b0d774</t>
  </si>
  <si>
    <t xml:space="preserve">HBO MAX 3 MONTHS</t>
  </si>
  <si>
    <t xml:space="preserve">publicPrice: $1.8 · بيع: 130</t>
  </si>
  <si>
    <t xml:space="preserve">6aa4551bc76bc3aeb2ebe88e</t>
  </si>
  <si>
    <t xml:space="preserve">CAPCUT PRO 1600 CREDITS</t>
  </si>
  <si>
    <t xml:space="preserve">publicPrice: $1.65 · بيع: 596</t>
  </si>
  <si>
    <t xml:space="preserve">6aa5bafb77c587d75cbe2a8e</t>
  </si>
  <si>
    <t xml:space="preserve">Duolingo Super 12M old</t>
  </si>
  <si>
    <t xml:space="preserve">publicPrice: $0.39 · بيع: 1760</t>
  </si>
  <si>
    <t xml:space="preserve">6ab4064f67d72e6ef6369597</t>
  </si>
  <si>
    <t xml:space="preserve">Capcut pro 6 days FW</t>
  </si>
  <si>
    <t xml:space="preserve">publicPrice: $0.1 · بيع: 220</t>
  </si>
  <si>
    <t xml:space="preserve">6abeace70dbb401865ffb2d2</t>
  </si>
  <si>
    <t xml:space="preserve">Apple TV 12 Months Link</t>
  </si>
  <si>
    <t xml:space="preserve">publicPrice: $1.5 · بيع: 14</t>
  </si>
  <si>
    <t xml:space="preserve">6abeb3210dbb401865ffe95f</t>
  </si>
  <si>
    <t xml:space="preserve">Wispr Flow 12M Edu</t>
  </si>
  <si>
    <t xml:space="preserve">publicPrice: $6.0 · بيع: 0</t>
  </si>
  <si>
    <t xml:space="preserve">LahaStore</t>
  </si>
  <si>
    <t xml:space="preserve">ChatGPT Plus 1 Month GGPay - Warranty 1 Day</t>
  </si>
  <si>
    <t xml:space="preserve">الأصلي: 180,000 VND</t>
  </si>
  <si>
    <t xml:space="preserve">ChatGPT Pre-registered account using @gmail ( free not plus )</t>
  </si>
  <si>
    <t xml:space="preserve">الأصلي: 3,500 VND</t>
  </si>
  <si>
    <t xml:space="preserve">ChatGPT Plus 1  Month UPI @gmail- Warranty 5h</t>
  </si>
  <si>
    <t xml:space="preserve">الأصلي: 120,000 VND</t>
  </si>
  <si>
    <t xml:space="preserve">API 10M Token Codex 1 Day - Full Warranty</t>
  </si>
  <si>
    <t xml:space="preserve">الأصلي: 46,000 VND</t>
  </si>
  <si>
    <t xml:space="preserve">API 50M Token Codex 1 Day -  Full Warranty</t>
  </si>
  <si>
    <t xml:space="preserve">الأصلي: 70,000 VND</t>
  </si>
  <si>
    <t xml:space="preserve">API 100M Token Codex 1 Day -  Full Warranty</t>
  </si>
  <si>
    <t xml:space="preserve">الأصلي: 90,000 VND</t>
  </si>
  <si>
    <t xml:space="preserve">Gemini Pro — 18 Months (Links)</t>
  </si>
  <si>
    <t xml:space="preserve">Gemini AI</t>
  </si>
  <si>
    <t xml:space="preserve">الأصلي: 26,000 VND</t>
  </si>
  <si>
    <t xml:space="preserve">Tool Jio Gemini Pro Extractor, Check Link, Scan Panel</t>
  </si>
  <si>
    <t xml:space="preserve">الأصلي: 3,000,000 VND</t>
  </si>
  <si>
    <t xml:space="preserve">CAPCUT PRO 30D - Full Warranty</t>
  </si>
  <si>
    <t xml:space="preserve">Capcut</t>
  </si>
  <si>
    <t xml:space="preserve">preorder</t>
  </si>
  <si>
    <t xml:space="preserve">الأصلي: 55,000 VND</t>
  </si>
  <si>
    <t xml:space="preserve">Capcut 6 Month - Full Warranty</t>
  </si>
  <si>
    <t xml:space="preserve">الأصلي: 260,000 VND</t>
  </si>
  <si>
    <t xml:space="preserve">API 10M Token Claude 1 Day - Full Warranty</t>
  </si>
  <si>
    <t xml:space="preserve">API 50M Token Claude 1 Day - Full Warranty</t>
  </si>
  <si>
    <t xml:space="preserve">الأصلي: 99,000 VND</t>
  </si>
  <si>
    <t xml:space="preserve">API 100M Token Claude 1 Day - Full Warranty</t>
  </si>
  <si>
    <t xml:space="preserve">الأصلي: 135,000 VND</t>
  </si>
  <si>
    <t xml:space="preserve">Dropshot AI 600 Credits (W12H)</t>
  </si>
  <si>
    <t xml:space="preserve">Dropshot AI</t>
  </si>
  <si>
    <t xml:space="preserve">الأصلي: 18,000 VND</t>
  </si>
  <si>
    <t xml:space="preserve">Duolingo Super 12 Month</t>
  </si>
  <si>
    <t xml:space="preserve">الأصلي: 18,500 VND</t>
  </si>
  <si>
    <t xml:space="preserve">AIVerseX</t>
  </si>
  <si>
    <t xml:space="preserve">service_1786031496</t>
  </si>
  <si>
    <t xml:space="preserve">Netflix 1M Premium 4K HDR</t>
  </si>
  <si>
    <t xml:space="preserve">service_1787461848</t>
  </si>
  <si>
    <t xml:space="preserve">Spotify 3M Redeem Link</t>
  </si>
  <si>
    <t xml:space="preserve">service_1788995417</t>
  </si>
  <si>
    <t xml:space="preserve">Duolingo Super 12M</t>
  </si>
  <si>
    <t xml:space="preserve">service_1788995793</t>
  </si>
  <si>
    <t xml:space="preserve">service_1788996027</t>
  </si>
  <si>
    <t xml:space="preserve">Apple Music 5M</t>
  </si>
  <si>
    <t xml:space="preserve">service_1789408882</t>
  </si>
  <si>
    <t xml:space="preserve">Cursor Pro 12M</t>
  </si>
  <si>
    <t xml:space="preserve">service_1789409173</t>
  </si>
  <si>
    <t xml:space="preserve">ElevenLabs Creator 12M</t>
  </si>
  <si>
    <t xml:space="preserve">service_1789409348</t>
  </si>
  <si>
    <t xml:space="preserve">Factory 12M</t>
  </si>
  <si>
    <t xml:space="preserve">service_1789409519</t>
  </si>
  <si>
    <t xml:space="preserve">Framer Pro 12M</t>
  </si>
  <si>
    <t xml:space="preserve">service_1789409622</t>
  </si>
  <si>
    <t xml:space="preserve">Gamma Pro 12M</t>
  </si>
  <si>
    <t xml:space="preserve">service_1789409720</t>
  </si>
  <si>
    <t xml:space="preserve">Google AI Pro 12M</t>
  </si>
  <si>
    <t xml:space="preserve">service_1789409889</t>
  </si>
  <si>
    <t xml:space="preserve">service_1789409984</t>
  </si>
  <si>
    <t xml:space="preserve">Gumloop Pro 12M</t>
  </si>
  <si>
    <t xml:space="preserve">service_1789410069</t>
  </si>
  <si>
    <t xml:space="preserve">Higgsfield Pro 12M</t>
  </si>
  <si>
    <t xml:space="preserve">service_1789410298</t>
  </si>
  <si>
    <t xml:space="preserve">Lovable Pro 12M</t>
  </si>
  <si>
    <t xml:space="preserve">service_1789410408</t>
  </si>
  <si>
    <t xml:space="preserve">Magic Patterns Starter 12M</t>
  </si>
  <si>
    <t xml:space="preserve">service_1789410490</t>
  </si>
  <si>
    <t xml:space="preserve">Manus Pro 12M</t>
  </si>
  <si>
    <t xml:space="preserve">service_1789410718</t>
  </si>
  <si>
    <t xml:space="preserve">Mobbin 10x Seat 12M</t>
  </si>
  <si>
    <t xml:space="preserve">service_1789410815</t>
  </si>
  <si>
    <t xml:space="preserve">Notion Business 12M</t>
  </si>
  <si>
    <t xml:space="preserve">service_1789410924</t>
  </si>
  <si>
    <t xml:space="preserve">Railway Hobby 12M</t>
  </si>
  <si>
    <t xml:space="preserve">service_1789411059</t>
  </si>
  <si>
    <t xml:space="preserve">Replit Core 12M</t>
  </si>
  <si>
    <t xml:space="preserve">service_1789411123</t>
  </si>
  <si>
    <t xml:space="preserve">Runway Pro 12M</t>
  </si>
  <si>
    <t xml:space="preserve">service_1789411280</t>
  </si>
  <si>
    <t xml:space="preserve">Supabase Pro</t>
  </si>
  <si>
    <t xml:space="preserve">service_1789411795</t>
  </si>
  <si>
    <t xml:space="preserve">Supercut Pro 10 Seat 12M</t>
  </si>
  <si>
    <t xml:space="preserve">service_1789411892</t>
  </si>
  <si>
    <t xml:space="preserve">Warp Build 12M</t>
  </si>
  <si>
    <t xml:space="preserve">service_1789412002</t>
  </si>
  <si>
    <t xml:space="preserve">Wispr Flow Pro 12M</t>
  </si>
  <si>
    <t xml:space="preserve">service_1789412047</t>
  </si>
  <si>
    <t xml:space="preserve">N8N Starter 12M</t>
  </si>
  <si>
    <t xml:space="preserve">service_1789412108</t>
  </si>
  <si>
    <t xml:space="preserve">Linear Business 12M</t>
  </si>
  <si>
    <t xml:space="preserve">service_1789412219</t>
  </si>
  <si>
    <t xml:space="preserve">Resend Pro 12M</t>
  </si>
  <si>
    <t xml:space="preserve">service_1790117096</t>
  </si>
  <si>
    <t xml:space="preserve">Amazon Prime Video 6M</t>
  </si>
  <si>
    <t xml:space="preserve">service_1790449955</t>
  </si>
  <si>
    <t xml:space="preserve">Microsoft Office 365 Plus</t>
  </si>
  <si>
    <t xml:space="preserve">service_1790495433</t>
  </si>
  <si>
    <t xml:space="preserve">YouTube Premium 3M</t>
  </si>
  <si>
    <t xml:space="preserve">service_1790521745</t>
  </si>
  <si>
    <t xml:space="preserve">Notion Business 3M</t>
  </si>
  <si>
    <t xml:space="preserve">service_1790697017</t>
  </si>
  <si>
    <t xml:space="preserve">Gemini Pro 18M ( Reactivation URLs )</t>
  </si>
  <si>
    <t xml:space="preserve">service_1790733433</t>
  </si>
  <si>
    <t xml:space="preserve">Gemini_Shop</t>
  </si>
  <si>
    <t xml:space="preserve">service_1788186586</t>
  </si>
  <si>
    <t xml:space="preserve">Netflix 1M 4K HDR</t>
  </si>
  <si>
    <t xml:space="preserve">service_1789190756</t>
  </si>
  <si>
    <t xml:space="preserve">Duolingo 12M</t>
  </si>
  <si>
    <t xml:space="preserve">service_1789191781</t>
  </si>
  <si>
    <t xml:space="preserve">service_1789191878</t>
  </si>
  <si>
    <t xml:space="preserve">service_gemini_reactivate</t>
  </si>
  <si>
    <t xml:space="preserve">Gemini Links 18m New Url</t>
  </si>
  <si>
    <t xml:space="preserve">service_1790855554</t>
  </si>
  <si>
    <t xml:space="preserve">ChatGPT  Plus UPI (24H)</t>
  </si>
  <si>
    <t xml:space="preserve">Acczone</t>
  </si>
  <si>
    <t xml:space="preserve">ADOBE_EXPRESS</t>
  </si>
  <si>
    <t xml:space="preserve">APPLE_MUSIC_PREPAID_V2</t>
  </si>
  <si>
    <t xml:space="preserve">DUOLINGO</t>
  </si>
  <si>
    <t xml:space="preserve">geminilive</t>
  </si>
  <si>
    <t xml:space="preserve">Gemini Pro 18M NEW</t>
  </si>
  <si>
    <t xml:space="preserve">PremiKey/HitMeow</t>
  </si>
  <si>
    <t xml:space="preserve">6aab67b4ccf9b248c4b395b6</t>
  </si>
  <si>
    <t xml:space="preserve">ChatGPT Gmail Trial offers 1 month Apple Pay - no warranty</t>
  </si>
  <si>
    <t xml:space="preserve">account</t>
  </si>
  <si>
    <t xml:space="preserve">بيعت: 13803</t>
  </si>
  <si>
    <t xml:space="preserve">6aa97801cac93afd8876ce3e</t>
  </si>
  <si>
    <t xml:space="preserve">CHATGPT PLUS 30 DAYS (no warranty)</t>
  </si>
  <si>
    <t xml:space="preserve">بيعت: 395</t>
  </si>
  <si>
    <t xml:space="preserve">6abe2315da57cd63e0eec464</t>
  </si>
  <si>
    <t xml:space="preserve">ChatGPT Plus 1 Month (No warranty)</t>
  </si>
  <si>
    <t xml:space="preserve">بيعت: 469</t>
  </si>
  <si>
    <t xml:space="preserve">6abe22ccda57cd63e0eeb377</t>
  </si>
  <si>
    <t xml:space="preserve">CHAT GPT PLUS 1 MONTH WARRANTY 5H</t>
  </si>
  <si>
    <t xml:space="preserve">بيعت: 14</t>
  </si>
  <si>
    <t xml:space="preserve">6aaa7c80fbab5ba20a1a7006</t>
  </si>
  <si>
    <t xml:space="preserve">ChatGPT Plus 30D warranty 24H</t>
  </si>
  <si>
    <t xml:space="preserve">بيعت: 1621</t>
  </si>
  <si>
    <t xml:space="preserve">6abcae227181c2d56304da99</t>
  </si>
  <si>
    <t xml:space="preserve">GPT GO 1 MONTH (24H warranty)</t>
  </si>
  <si>
    <t xml:space="preserve">6aa39f0b0de12c6992d9d6c9</t>
  </si>
  <si>
    <t xml:space="preserve">ChatGPT Business Slot 1 month warranty 24h</t>
  </si>
  <si>
    <t xml:space="preserve">slot</t>
  </si>
  <si>
    <t xml:space="preserve">بيعت: 0</t>
  </si>
  <si>
    <t xml:space="preserve">6ab57013675d4138eb96c7c7</t>
  </si>
  <si>
    <t xml:space="preserve">ChatGPT PRO 5X 1 month - 3D warranty</t>
  </si>
  <si>
    <t xml:space="preserve">بيعت: 18</t>
  </si>
  <si>
    <t xml:space="preserve">6ab5701e675d4138eb96c85b</t>
  </si>
  <si>
    <t xml:space="preserve">CHAT GPT PRO X5 1 MONTH (5-DAY WARRANTY)</t>
  </si>
  <si>
    <t xml:space="preserve">6abaa96aa3c899e943fd7149</t>
  </si>
  <si>
    <t xml:space="preserve">🔥ChatGPT Plus VIP Pro 30D warranty 20D</t>
  </si>
  <si>
    <t xml:space="preserve">بيعت: 33</t>
  </si>
  <si>
    <t xml:space="preserve">6aba27a431a482e3ae1d4f07</t>
  </si>
  <si>
    <t xml:space="preserve">❤️‍🔥 Slot ChatGPT Business can be extended for 30 days with full warranty</t>
  </si>
  <si>
    <t xml:space="preserve">بيعت: 231</t>
  </si>
  <si>
    <t xml:space="preserve">6abe195cda57cd63e0ecc9ee</t>
  </si>
  <si>
    <t xml:space="preserve">💚ChatGPT Plus Apple Pay 1 month full warranty</t>
  </si>
  <si>
    <t xml:space="preserve">بيعت: 2534</t>
  </si>
  <si>
    <t xml:space="preserve">6aa10682a7c3ce36d269cce6</t>
  </si>
  <si>
    <t xml:space="preserve">بيعت: 2277</t>
  </si>
  <si>
    <t xml:space="preserve">6a66defc3619f83cd25cc17d</t>
  </si>
  <si>
    <t xml:space="preserve">🔥Chatgpt Plus VIP 1 month full warranty</t>
  </si>
  <si>
    <t xml:space="preserve">بيعت: 2937</t>
  </si>
  <si>
    <t xml:space="preserve">6a7347f6b1446d1a93c12cdf</t>
  </si>
  <si>
    <t xml:space="preserve">بيعت: 4400</t>
  </si>
  <si>
    <t xml:space="preserve">6a9684b0894bed8e7c0d5c09</t>
  </si>
  <si>
    <t xml:space="preserve">ChatGPT Business shares 1 month full warranty</t>
  </si>
  <si>
    <t xml:space="preserve">بيعت: 239</t>
  </si>
  <si>
    <t xml:space="preserve">6ab747e4a85f2774f248d573</t>
  </si>
  <si>
    <t xml:space="preserve">Upgrade ChatGPT Plus Official Owner 4 months warranty 2 Months</t>
  </si>
  <si>
    <t xml:space="preserve">upgrade_account</t>
  </si>
  <si>
    <t xml:space="preserve">6a6e1fa44e24e64b8f019eed</t>
  </si>
  <si>
    <t xml:space="preserve">🔥ChatGPT Plus K12 Edu 2 Years 12h Warranty</t>
  </si>
  <si>
    <t xml:space="preserve">بيعت: 452</t>
  </si>
  <si>
    <t xml:space="preserve">6a570bfaf69278884a9e0810</t>
  </si>
  <si>
    <t xml:space="preserve">🔥ChatGPT Plus K12 Edu 2 Years 24h Warranty</t>
  </si>
  <si>
    <t xml:space="preserve">بيعت: 690</t>
  </si>
  <si>
    <t xml:space="preserve">6abaadcba3c899e943fe3737</t>
  </si>
  <si>
    <t xml:space="preserve">ChatGPT Plus Google Pay Mail iCloud or Gmail 24H warranty</t>
  </si>
  <si>
    <t xml:space="preserve">بيعت: 25</t>
  </si>
  <si>
    <t xml:space="preserve">6ab522de675d4138eb893e5f</t>
  </si>
  <si>
    <t xml:space="preserve">Elevenlab Creator 1 month 3D warranty</t>
  </si>
  <si>
    <t xml:space="preserve">بيعت: 301</t>
  </si>
  <si>
    <t xml:space="preserve">6abbeebd17aa4c8f03421519</t>
  </si>
  <si>
    <t xml:space="preserve">ELEVENLABS CREATOR 1 MONTH - [5D warranty]</t>
  </si>
  <si>
    <t xml:space="preserve">بيعت: 286</t>
  </si>
  <si>
    <t xml:space="preserve">6a6e1dcc4e24e64b8f016b54</t>
  </si>
  <si>
    <t xml:space="preserve">بيعت: 319</t>
  </si>
  <si>
    <t xml:space="preserve">6a6e1e2e4e24e64b8f01742f</t>
  </si>
  <si>
    <t xml:space="preserve">🔥ElevenLabs Redeem 3M Credit</t>
  </si>
  <si>
    <t xml:space="preserve">بيعت: 78</t>
  </si>
  <si>
    <t xml:space="preserve">6a6e1eb44e24e64b8f018278</t>
  </si>
  <si>
    <t xml:space="preserve">🔥ElevenLabs Redeem 7M Credit</t>
  </si>
  <si>
    <t xml:space="preserve">بيعت: 80</t>
  </si>
  <si>
    <t xml:space="preserve">6aa2ee48553547f0f1083e6f</t>
  </si>
  <si>
    <t xml:space="preserve">🔥ElevenLabs Redeem Creator 12 months</t>
  </si>
  <si>
    <t xml:space="preserve">بيعت: 1</t>
  </si>
  <si>
    <t xml:space="preserve">6aa6d8b0130136d7700328cd</t>
  </si>
  <si>
    <t xml:space="preserve">Link Gift EleveneReadr Ultra 1 year warranty 1 day</t>
  </si>
  <si>
    <t xml:space="preserve">بيعت: 211</t>
  </si>
  <si>
    <t xml:space="preserve">6a9d73ceeab261fc8b661bdb</t>
  </si>
  <si>
    <t xml:space="preserve">🔥ElevenLabs Redeem 131K Credit</t>
  </si>
  <si>
    <t xml:space="preserve">بيعت: 377</t>
  </si>
  <si>
    <t xml:space="preserve">6a721f4db6d374ae89ca4172</t>
  </si>
  <si>
    <t xml:space="preserve">بيعت: 1637</t>
  </si>
  <si>
    <t xml:space="preserve">6abe8fe98e14fb435f2c5058</t>
  </si>
  <si>
    <t xml:space="preserve">Capcut Pro 7 Days full warranty</t>
  </si>
  <si>
    <t xml:space="preserve">بيعت: 652</t>
  </si>
  <si>
    <t xml:space="preserve">6ab57e75675d4138eb9831f3</t>
  </si>
  <si>
    <t xml:space="preserve">Capcut Pro 30D with a 30-day warranty</t>
  </si>
  <si>
    <t xml:space="preserve">بيعت: 201</t>
  </si>
  <si>
    <t xml:space="preserve">6a8762c7cb69f3270dc04b80</t>
  </si>
  <si>
    <t xml:space="preserve">CapCut Pro Team 3 Months - full warranty</t>
  </si>
  <si>
    <t xml:space="preserve">بيعت: 248</t>
  </si>
  <si>
    <t xml:space="preserve">6ab7a3850f9ff38abc2828e6</t>
  </si>
  <si>
    <t xml:space="preserve">CAPCUT PERSONAL 6 MONTHS full warranty</t>
  </si>
  <si>
    <t xml:space="preserve">بيعت: 220</t>
  </si>
  <si>
    <t xml:space="preserve">6aaeeefe86b42420149b76fa</t>
  </si>
  <si>
    <t xml:space="preserve">Claude Unlimited API 1-day full warranty</t>
  </si>
  <si>
    <t xml:space="preserve">بيعت: 4</t>
  </si>
  <si>
    <t xml:space="preserve">6abbe15817aa4c8f033f7358</t>
  </si>
  <si>
    <t xml:space="preserve">VIP API Claude Unlimited 1 day full warranty</t>
  </si>
  <si>
    <t xml:space="preserve">بيعت: 2</t>
  </si>
  <si>
    <t xml:space="preserve">6ab3eef60944def028bdd5c5</t>
  </si>
  <si>
    <t xml:space="preserve">Claude API $10 1 month full warranty</t>
  </si>
  <si>
    <t xml:space="preserve">بيعت: 125</t>
  </si>
  <si>
    <t xml:space="preserve">6ab3ef380944def028bde2f7</t>
  </si>
  <si>
    <t xml:space="preserve">Claude API $30 1 month full warranty</t>
  </si>
  <si>
    <t xml:space="preserve">بيعت: 39</t>
  </si>
  <si>
    <t xml:space="preserve">6ab3efe00944def028be02f7</t>
  </si>
  <si>
    <t xml:space="preserve">Claude API $50 1 month full warranty</t>
  </si>
  <si>
    <t xml:space="preserve">بيعت: 34</t>
  </si>
  <si>
    <t xml:space="preserve">6ab3f02c0944def028be111f</t>
  </si>
  <si>
    <t xml:space="preserve">Claude API $100 1 month full warranty</t>
  </si>
  <si>
    <t xml:space="preserve">6ab3f0610944def028be1a8f</t>
  </si>
  <si>
    <t xml:space="preserve">Claude API $200 1 month full warranty</t>
  </si>
  <si>
    <t xml:space="preserve">بيعت: 20</t>
  </si>
  <si>
    <t xml:space="preserve">6ab3f0850944def028be208b</t>
  </si>
  <si>
    <t xml:space="preserve">Claude API $300 1 month full warranty</t>
  </si>
  <si>
    <t xml:space="preserve">بيعت: 10</t>
  </si>
  <si>
    <t xml:space="preserve">6ab3f09f0944def028be257c</t>
  </si>
  <si>
    <t xml:space="preserve">Claude API $500 1 month full warranty</t>
  </si>
  <si>
    <t xml:space="preserve">6ab80c78a83a15aa6f5b8233</t>
  </si>
  <si>
    <t xml:space="preserve">Claude API $1000 1 month full warranty</t>
  </si>
  <si>
    <t xml:space="preserve">6aac32d85271203cb11b0c68</t>
  </si>
  <si>
    <t xml:space="preserve">The old CLAUDE FREE account was created more than 1 month ago, 365-day limit, no warranty</t>
  </si>
  <si>
    <t xml:space="preserve">بيعت: 130</t>
  </si>
  <si>
    <t xml:space="preserve">6aa5905cdf59fbc6fe22ebfc</t>
  </si>
  <si>
    <t xml:space="preserve">CANVA PRO SLOT 1 MONTH full warranty</t>
  </si>
  <si>
    <t xml:space="preserve">بيعت: 1062</t>
  </si>
  <si>
    <t xml:space="preserve">6aac2f875271203cb11aae47</t>
  </si>
  <si>
    <t xml:space="preserve">Canva Pro Business Slot Invite for 99 Slots for 1 Month - full warranty</t>
  </si>
  <si>
    <t xml:space="preserve">6aa6cbe2130136d77000ed87</t>
  </si>
  <si>
    <t xml:space="preserve">CANVA EDU SLOT 3 YEARS ADD FAMILY 1 YEAR full warranty</t>
  </si>
  <si>
    <t xml:space="preserve">6a993431b7e5170fcbd7b583</t>
  </si>
  <si>
    <t xml:space="preserve">CANVA PRO SLOT 1 YEAR (full warranty)</t>
  </si>
  <si>
    <t xml:space="preserve">بيعت: 53</t>
  </si>
  <si>
    <t xml:space="preserve">6aa5960edf59fbc6fe23a87a</t>
  </si>
  <si>
    <t xml:space="preserve">Microsoft 365 Admin Family 1 Month full warranty</t>
  </si>
  <si>
    <t xml:space="preserve">6aaebafc86b4242014947512</t>
  </si>
  <si>
    <t xml:space="preserve">Microsoft 365 Admin Premium 1 Month full warranty</t>
  </si>
  <si>
    <t xml:space="preserve">بيعت: 43</t>
  </si>
  <si>
    <t xml:space="preserve">6ab137fff6d40479fddb6fbe</t>
  </si>
  <si>
    <t xml:space="preserve">MICROSOFT OFFICE 365 PREMIUM SLOT 5 MONTHS full warranty</t>
  </si>
  <si>
    <t xml:space="preserve">بيعت: 3</t>
  </si>
  <si>
    <t xml:space="preserve">6a9afc0bd7c232c43911dbc4</t>
  </si>
  <si>
    <t xml:space="preserve">MICROSOFT OFFICE 365 Family 12 MONTHS full warranty slot</t>
  </si>
  <si>
    <t xml:space="preserve">6a9dff2bd8a1308477fc73d9</t>
  </si>
  <si>
    <t xml:space="preserve">Microsoft 365 Personal 1 year warranty 3 months</t>
  </si>
  <si>
    <t xml:space="preserve">بيعت: 3524</t>
  </si>
  <si>
    <t xml:space="preserve">6aaf95c386b4242014abc7c1</t>
  </si>
  <si>
    <t xml:space="preserve">ADMIN MS365 PREMIUM 1TB 5 SLOTS 1 YEAR full warranty</t>
  </si>
  <si>
    <t xml:space="preserve">بيعت: 45</t>
  </si>
  <si>
    <t xml:space="preserve">6ab137f0f6d40479fddb6d84</t>
  </si>
  <si>
    <t xml:space="preserve">MICROSOFT OFFICE 365 PREMIUM SLOT 1 YEAR full warranty</t>
  </si>
  <si>
    <t xml:space="preserve">بيعت: 11</t>
  </si>
  <si>
    <t xml:space="preserve">6a9b97aad7c232c43920fc20</t>
  </si>
  <si>
    <t xml:space="preserve">Microsoft Office 365 + 1TB 2 Years full warranty</t>
  </si>
  <si>
    <t xml:space="preserve">بيعت: 110</t>
  </si>
  <si>
    <t xml:space="preserve">6a8d8fd821b4ed02455491da</t>
  </si>
  <si>
    <t xml:space="preserve">Office 365 100GB 5 devices 6 years warranty 2 years</t>
  </si>
  <si>
    <t xml:space="preserve">بيعت: 340</t>
  </si>
  <si>
    <t xml:space="preserve">6a8d8fe921b4ed0245549507</t>
  </si>
  <si>
    <t xml:space="preserve">Key Windows 10/11 Pro Retail Online 100-year warranty 7 days</t>
  </si>
  <si>
    <t xml:space="preserve">بيعت: 155</t>
  </si>
  <si>
    <t xml:space="preserve">6a39cdfd25b1f020452c1b71</t>
  </si>
  <si>
    <t xml:space="preserve">YTB ​​PREMIUM SLOT 1 MONTH 30D warranty</t>
  </si>
  <si>
    <t xml:space="preserve">بيعت: 1181</t>
  </si>
  <si>
    <t xml:space="preserve">6ab36b090944def028a758de</t>
  </si>
  <si>
    <t xml:space="preserve">CHEAP YOUTUBE PREMIUM SLOT 3 MONTHS full warranty</t>
  </si>
  <si>
    <t xml:space="preserve">6ab36af70944def028a754b6</t>
  </si>
  <si>
    <t xml:space="preserve">CHEAP YOUTUBE PREMIUM SLOT 6 MONTHS full warranty</t>
  </si>
  <si>
    <t xml:space="preserve">6ab36ae60944def028a751c5</t>
  </si>
  <si>
    <t xml:space="preserve">CHEAP YOUTUBE PREMIUM SLOT 12 MONTHS full warranty</t>
  </si>
  <si>
    <t xml:space="preserve">6aab93dbbb8cc3ed24a4cd2d</t>
  </si>
  <si>
    <t xml:space="preserve">Buff 1M followers YouTube channel 1 year no warranty</t>
  </si>
  <si>
    <t xml:space="preserve">6aab92dcbb8cc3ed24a4a91f</t>
  </si>
  <si>
    <t xml:space="preserve">Buff 10k followers YouTube channel 1 year no warranty</t>
  </si>
  <si>
    <t xml:space="preserve">6aab93a6bb8cc3ed24a4c4be</t>
  </si>
  <si>
    <t xml:space="preserve">Buff 100k followers YouTube channel 1 year no warranty</t>
  </si>
  <si>
    <t xml:space="preserve">6aa962cfce0dc91737d842a1</t>
  </si>
  <si>
    <t xml:space="preserve">Co Viet YouTube Channel 201X-2025</t>
  </si>
  <si>
    <t xml:space="preserve">بيعت: 297</t>
  </si>
  <si>
    <t xml:space="preserve">6aaabbcb22a653bc6d020638</t>
  </si>
  <si>
    <t xml:space="preserve">Vietnam 2026 YouTube Channel - Old Gmail</t>
  </si>
  <si>
    <t xml:space="preserve">بيعت: 48</t>
  </si>
  <si>
    <t xml:space="preserve">6a97f1895aadae258c3a36b6</t>
  </si>
  <si>
    <t xml:space="preserve">Notion Business Admin 1 month full warranty</t>
  </si>
  <si>
    <t xml:space="preserve">بيعت: 92</t>
  </si>
  <si>
    <t xml:space="preserve">6a9c4ea6d92ddad6f97f09df</t>
  </si>
  <si>
    <t xml:space="preserve">Slot Notion Business has an official AI with a full 1-month warranty</t>
  </si>
  <si>
    <t xml:space="preserve">6a8fc3ea661bc6770a23f417</t>
  </si>
  <si>
    <t xml:space="preserve">Notion Business Admin 3 months full warranty</t>
  </si>
  <si>
    <t xml:space="preserve">بيعت: 162</t>
  </si>
  <si>
    <t xml:space="preserve">6a97f1915aadae258c3a379c</t>
  </si>
  <si>
    <t xml:space="preserve">Notion Business Code 3 months full warranty</t>
  </si>
  <si>
    <t xml:space="preserve">بيعت: 63</t>
  </si>
  <si>
    <t xml:space="preserve">6a9c4eb0d92ddad6f97f0ba3</t>
  </si>
  <si>
    <t xml:space="preserve">Slot Notion Business has an official AI with a full 3-month warranty</t>
  </si>
  <si>
    <t xml:space="preserve">6aa2f062553547f0f10871ca</t>
  </si>
  <si>
    <t xml:space="preserve">Notion Business Redeem 1 year</t>
  </si>
  <si>
    <t xml:space="preserve">6a74666836760d994b33dbe9</t>
  </si>
  <si>
    <t xml:space="preserve">Notion Plus 1 year full warranty</t>
  </si>
  <si>
    <t xml:space="preserve">بيعت: 29</t>
  </si>
  <si>
    <t xml:space="preserve">6aa02c7d90645ea2198cf5d3</t>
  </si>
  <si>
    <t xml:space="preserve">🔥Notion plus edu 2 years warranty 3 months</t>
  </si>
  <si>
    <t xml:space="preserve">6aaed31486b424201497ed6c</t>
  </si>
  <si>
    <t xml:space="preserve">Adobe All App 6-7 Days no warranty</t>
  </si>
  <si>
    <t xml:space="preserve">بيعت: 172</t>
  </si>
  <si>
    <t xml:space="preserve">6aa4ed1cdf59fbc6fe0caeff</t>
  </si>
  <si>
    <t xml:space="preserve">Adobe All Apps 7 Days no warranty</t>
  </si>
  <si>
    <t xml:space="preserve">بيعت: 1377</t>
  </si>
  <si>
    <t xml:space="preserve">6ab911a6266735c897788c0f</t>
  </si>
  <si>
    <t xml:space="preserve">Adobe All Apps 7D warranty 12H</t>
  </si>
  <si>
    <t xml:space="preserve">بيعت: 592</t>
  </si>
  <si>
    <t xml:space="preserve">6aa93413910baa7b964052d3</t>
  </si>
  <si>
    <t xml:space="preserve">Adobe Full App Bypass Version 1 Month - full warranty</t>
  </si>
  <si>
    <t xml:space="preserve">بيعت: 47</t>
  </si>
  <si>
    <t xml:space="preserve">6abd4cbc7e196463ea475fd8</t>
  </si>
  <si>
    <t xml:space="preserve">Adobe Express Premium 12 months no warranty</t>
  </si>
  <si>
    <t xml:space="preserve">6aa58f89df59fbc6fe22d163</t>
  </si>
  <si>
    <t xml:space="preserve">Adobe Express Premium 12 months without warranty</t>
  </si>
  <si>
    <t xml:space="preserve">بيعت: 9</t>
  </si>
  <si>
    <t xml:space="preserve">6a9a130402debacfb80da062</t>
  </si>
  <si>
    <t xml:space="preserve">Figma Pro Education 2 Years warranty 1 Year</t>
  </si>
  <si>
    <t xml:space="preserve">بيعت: 89</t>
  </si>
  <si>
    <t xml:space="preserve">6ab017cb86b4242014c10d69</t>
  </si>
  <si>
    <t xml:space="preserve">KLING 700-900 per month (24h warranty)</t>
  </si>
  <si>
    <t xml:space="preserve">بيعت: 225</t>
  </si>
  <si>
    <t xml:space="preserve">6ab017b386b4242014c10997</t>
  </si>
  <si>
    <t xml:space="preserve">Kling Standard 660-690 credit 1 month warranty 1 day</t>
  </si>
  <si>
    <t xml:space="preserve">6ab58018675d4138eb985444</t>
  </si>
  <si>
    <t xml:space="preserve">Kling Standard 726 credit 1 month warranty 1 day</t>
  </si>
  <si>
    <t xml:space="preserve">بيعت: 12</t>
  </si>
  <si>
    <t xml:space="preserve">6ab34038eb4688fddc20a350</t>
  </si>
  <si>
    <t xml:space="preserve">KlingAI 725-850 Credits 1 Month (24H Warranty)</t>
  </si>
  <si>
    <t xml:space="preserve">بيعت: 271</t>
  </si>
  <si>
    <t xml:space="preserve">6ab017c586b4242014c10c4f</t>
  </si>
  <si>
    <t xml:space="preserve">KLING STAND RANDOM CREDIT 726 756 1 MONTH - 2 DAYS warranty</t>
  </si>
  <si>
    <t xml:space="preserve">6abbc520dcfd14a98e63e39a</t>
  </si>
  <si>
    <t xml:space="preserve">⚡️Kling 1k1-1k2 CRE 1 month warranty 5D</t>
  </si>
  <si>
    <t xml:space="preserve">6a8c022432e25f8bd2293417</t>
  </si>
  <si>
    <t xml:space="preserve">KLING PRO 3k3 credit 1 month warranty 7 days</t>
  </si>
  <si>
    <t xml:space="preserve">بيعت: 202</t>
  </si>
  <si>
    <t xml:space="preserve">6a68a5b71941674c6c8211fa</t>
  </si>
  <si>
    <t xml:space="preserve">KlingAI random 750-1100 1 month 30-day warranty</t>
  </si>
  <si>
    <t xml:space="preserve">بيعت: 3338</t>
  </si>
  <si>
    <t xml:space="preserve">6a8ceea29f2c24688533cb77</t>
  </si>
  <si>
    <t xml:space="preserve">Kling 70K Credit 1 month full warranty</t>
  </si>
  <si>
    <t xml:space="preserve">6aa810c51c2a8212a204014c</t>
  </si>
  <si>
    <t xml:space="preserve">KLingAI random 750~1100 Credit 1 month full warranty</t>
  </si>
  <si>
    <t xml:space="preserve">6ab1f157f6d40479fdf1bf25</t>
  </si>
  <si>
    <t xml:space="preserve">VEO4 x20 Ultra 0 credit SLOT 20D full warranty</t>
  </si>
  <si>
    <t xml:space="preserve">6a9e163e51933b3d391af9a0</t>
  </si>
  <si>
    <t xml:space="preserve">VEO3 (Antigravity) x20 Ultra 0 credit SLOT 1 month warranty 30D</t>
  </si>
  <si>
    <t xml:space="preserve">بيعت: 5</t>
  </si>
  <si>
    <t xml:space="preserve">6aa6a328df59fbc6fe410c1c</t>
  </si>
  <si>
    <t xml:space="preserve">VEO3 (Antigravity) x20 Ultra 25K credit SLOT 1 month warranty 30D</t>
  </si>
  <si>
    <t xml:space="preserve">بيعت: 16</t>
  </si>
  <si>
    <t xml:space="preserve">6aa6a2f0df59fbc6fe41038e</t>
  </si>
  <si>
    <t xml:space="preserve">VEO3 (Antigravity) x20 Ultra random credit SLOT 1 month warranty 30D</t>
  </si>
  <si>
    <t xml:space="preserve">بيعت: 59</t>
  </si>
  <si>
    <t xml:space="preserve">6ab0aca2f6d40479fdc55189</t>
  </si>
  <si>
    <t xml:space="preserve">COMBO 5 SLOT VEO4 x20 Ultra 5K credit SLOT 1 month full warranty</t>
  </si>
  <si>
    <t xml:space="preserve">6abd4df97e196463ea4793ce</t>
  </si>
  <si>
    <t xml:space="preserve">VEO 4 Ultra x20 750K Credit Slot 1 month full warranty</t>
  </si>
  <si>
    <t xml:space="preserve">6a8d2a99570ecc969bdf758c</t>
  </si>
  <si>
    <t xml:space="preserve">ADMIN FULL FAM VEO 3 x20 3 months full warranty</t>
  </si>
  <si>
    <t xml:space="preserve">بيعت: 40</t>
  </si>
  <si>
    <t xml:space="preserve">6abd4dd87e196463ea478ff7</t>
  </si>
  <si>
    <t xml:space="preserve">COMBO 5 VEO4 SLOTS x20 Ultra 5K credit SLOT 3 months full warranty</t>
  </si>
  <si>
    <t xml:space="preserve">6ab12363f6d40479fdd828aa</t>
  </si>
  <si>
    <t xml:space="preserve">Link Slot VEO4 x20 Ultra random credit 3 months full warranty</t>
  </si>
  <si>
    <t xml:space="preserve">6abd4d137e196463ea476ea4</t>
  </si>
  <si>
    <t xml:space="preserve">VEO3 (Antigravity) x20 Ultra 0 credit SLOT 3 months full warranty</t>
  </si>
  <si>
    <t xml:space="preserve">6aa6a30adf59fbc6fe410742</t>
  </si>
  <si>
    <t xml:space="preserve">VEO3 (Antigravity) x20 Ultra Random credit SLOT 3 months full warranty</t>
  </si>
  <si>
    <t xml:space="preserve">بيعت: 8</t>
  </si>
  <si>
    <t xml:space="preserve">6ab1f188f6d40479fdf1c6bc</t>
  </si>
  <si>
    <t xml:space="preserve">ADMIN FULL FAM VEO 4 x5 10K Credit 6 months full warranty</t>
  </si>
  <si>
    <t xml:space="preserve">6abd4d4f7e196463ea4777b6</t>
  </si>
  <si>
    <t xml:space="preserve">COMBO 5 VEO4 SLOTS x20 Ultra 5K credit SLOT 6 months full warranty</t>
  </si>
  <si>
    <t xml:space="preserve">6aa6a336df59fbc6fe410f3b</t>
  </si>
  <si>
    <t xml:space="preserve">VEO3 (Antigravity) x20 Ultra random credit SLOT 6 months full warranty</t>
  </si>
  <si>
    <t xml:space="preserve">6abd4d407e196463ea4775f7</t>
  </si>
  <si>
    <t xml:space="preserve">ADMIN FULL FAM VEO 3 x20 12 months full warranty</t>
  </si>
  <si>
    <t xml:space="preserve">6abd4dac7e196463ea478868</t>
  </si>
  <si>
    <t xml:space="preserve">ADMIN FULL FAM VEO 4 x5 10K Credit 12 months full warranty</t>
  </si>
  <si>
    <t xml:space="preserve">6abd4dc47e196463ea478bf2</t>
  </si>
  <si>
    <t xml:space="preserve">VEO4 x20 Ultra 12.5k credit SLOT 12-month full warranty</t>
  </si>
  <si>
    <t xml:space="preserve">6aa6a346df59fbc6fe41112a</t>
  </si>
  <si>
    <t xml:space="preserve">VEO3 (Antigravity) x20 Ultra 0 credit SLOT 1Y full warranty</t>
  </si>
  <si>
    <t xml:space="preserve">6aabc781bb8cc3ed24ac8152</t>
  </si>
  <si>
    <t xml:space="preserve">SLOT Gemini Pro Official Owner +GG 5TB 1 YEAR 1 year full warranty</t>
  </si>
  <si>
    <t xml:space="preserve">6abe83198e14fb435f29f4ed</t>
  </si>
  <si>
    <t xml:space="preserve">LINK GEMINI AI PRO 18 Months warranty 24H</t>
  </si>
  <si>
    <t xml:space="preserve">بيعت: 281</t>
  </si>
  <si>
    <t xml:space="preserve">6ab7f13d78e9610e9e376b1d</t>
  </si>
  <si>
    <t xml:space="preserve">Link Gemini Pro 18 Months Warranty 24 Hours</t>
  </si>
  <si>
    <t xml:space="preserve">بيعت: 579</t>
  </si>
  <si>
    <t xml:space="preserve">6ab57f96675d4138eb984855</t>
  </si>
  <si>
    <t xml:space="preserve">Link Gemini Pro 18 Months Warranty 24H</t>
  </si>
  <si>
    <t xml:space="preserve">بيعت: 7117</t>
  </si>
  <si>
    <t xml:space="preserve">6aaa8be2fbab5ba20a1c9d4f</t>
  </si>
  <si>
    <t xml:space="preserve">Spotify Premium 3-Month Activation Link with No Warranty</t>
  </si>
  <si>
    <t xml:space="preserve">بيعت: 60</t>
  </si>
  <si>
    <t xml:space="preserve">6aba248d31a482e3ae1caa93</t>
  </si>
  <si>
    <t xml:space="preserve">Spotify Premium 6 Months full warranty</t>
  </si>
  <si>
    <t xml:space="preserve">6aad461ba6aee7a7ee9fd0dd</t>
  </si>
  <si>
    <t xml:space="preserve">Meitu SVip+ 7 Days full warranty</t>
  </si>
  <si>
    <t xml:space="preserve">بيعت: 260</t>
  </si>
  <si>
    <t xml:space="preserve">6aa264b16bbf581350b6d3b3</t>
  </si>
  <si>
    <t xml:space="preserve">Meitu VIP 7 Days full warranty</t>
  </si>
  <si>
    <t xml:space="preserve">بيعت: 2481</t>
  </si>
  <si>
    <t xml:space="preserve">6a9a71ecd7c232c439ff0506</t>
  </si>
  <si>
    <t xml:space="preserve">Meitu Vip+ 7D full warranty</t>
  </si>
  <si>
    <t xml:space="preserve">6ab58049675d4138eb9858c8</t>
  </si>
  <si>
    <t xml:space="preserve">Meitu SVIP 1 Month full warranty</t>
  </si>
  <si>
    <t xml:space="preserve">6a95ab1f062fe544328cc9c1</t>
  </si>
  <si>
    <t xml:space="preserve">Meitu Vip+ 30D full warranty</t>
  </si>
  <si>
    <t xml:space="preserve">بيعت: 878</t>
  </si>
  <si>
    <t xml:space="preserve">6a8d901d21b4ed024554a228</t>
  </si>
  <si>
    <t xml:space="preserve">Meitu Vip+ 90D full warranty</t>
  </si>
  <si>
    <t xml:space="preserve">بيعت: 76</t>
  </si>
  <si>
    <t xml:space="preserve">6aad1981a6aee7a7ee999935</t>
  </si>
  <si>
    <t xml:space="preserve">Meitu Vip (3 devices) 1 Year - full warranty</t>
  </si>
  <si>
    <t xml:space="preserve">بيعت: 15</t>
  </si>
  <si>
    <t xml:space="preserve">6ab92920266735c8977c3cb5</t>
  </si>
  <si>
    <t xml:space="preserve">Grok 7 days warranty 3 days</t>
  </si>
  <si>
    <t xml:space="preserve">بيعت: 565</t>
  </si>
  <si>
    <t xml:space="preserve">6ab8f62ea83a15aa6f774e4a</t>
  </si>
  <si>
    <t xml:space="preserve">Grok 7-day full warranty</t>
  </si>
  <si>
    <t xml:space="preserve">6a9a55ba8cdb8bb78ed7e87e</t>
  </si>
  <si>
    <t xml:space="preserve">CDK Grok Heavy 1 month warranty not included</t>
  </si>
  <si>
    <t xml:space="preserve">بيعت: 193</t>
  </si>
  <si>
    <t xml:space="preserve">6a9d7977eab261fc8b66c0a6</t>
  </si>
  <si>
    <t xml:space="preserve">CDK Grok Super 1 month warranty not included</t>
  </si>
  <si>
    <t xml:space="preserve">بيعت: 84</t>
  </si>
  <si>
    <t xml:space="preserve">6aa04618a54ae9b9fd06bafd</t>
  </si>
  <si>
    <t xml:space="preserve">CDK SUPER GROK 1 month warranty not included</t>
  </si>
  <si>
    <t xml:space="preserve">6abe0f7ada57cd63e0eaab97</t>
  </si>
  <si>
    <t xml:space="preserve">Grok API $10 1 month full warranty</t>
  </si>
  <si>
    <t xml:space="preserve">6abe0fc8da57cd63e0eab5eb</t>
  </si>
  <si>
    <t xml:space="preserve">Grok API $30 1 month full warranty</t>
  </si>
  <si>
    <t xml:space="preserve">6abe0fe5da57cd63e0eabc08</t>
  </si>
  <si>
    <t xml:space="preserve">Grok API $50 1 month full warranty</t>
  </si>
  <si>
    <t xml:space="preserve">6abe1001da57cd63e0eac1d9</t>
  </si>
  <si>
    <t xml:space="preserve">Grok API $100 1 month full warranty</t>
  </si>
  <si>
    <t xml:space="preserve">6ab91494266735c89778ed6f</t>
  </si>
  <si>
    <t xml:space="preserve">Freepik + 45K credit 1 month warranty 2 days</t>
  </si>
  <si>
    <t xml:space="preserve">6a998005b7e5170fcbe18646</t>
  </si>
  <si>
    <t xml:space="preserve">FreePik (magnific) pre + 45k credits 1 month (5 DAY warranty)</t>
  </si>
  <si>
    <t xml:space="preserve">6a8c38883e33293b219cd514</t>
  </si>
  <si>
    <t xml:space="preserve">بيعت: 159</t>
  </si>
  <si>
    <t xml:space="preserve">6a8ceec59f2c24688533d01a</t>
  </si>
  <si>
    <t xml:space="preserve">6a8ceecf9f2c24688533d11a</t>
  </si>
  <si>
    <t xml:space="preserve">6ab5803c675d4138eb9857bb</t>
  </si>
  <si>
    <t xml:space="preserve">Lovable PRO 110 credit 15 days - 10D warranty</t>
  </si>
  <si>
    <t xml:space="preserve">6aab76f8bb8cc3ed24a0f72d</t>
  </si>
  <si>
    <t xml:space="preserve">Lovable Pro 1 month warranty 28D</t>
  </si>
  <si>
    <t xml:space="preserve">6abbf04b17aa4c8f03429518</t>
  </si>
  <si>
    <t xml:space="preserve">Lovable Lite 12 months - 2 months warranty</t>
  </si>
  <si>
    <t xml:space="preserve">6a9fcd14b0f7cc50800d50f6</t>
  </si>
  <si>
    <t xml:space="preserve">6aa2f54a553547f0f108f766</t>
  </si>
  <si>
    <t xml:space="preserve">Lovable Pro Redeem 1 year</t>
  </si>
  <si>
    <t xml:space="preserve">6aa264996bbf581350b6d065</t>
  </si>
  <si>
    <t xml:space="preserve">Wink VIP+ 7 Days full warranty</t>
  </si>
  <si>
    <t xml:space="preserve">بيعت: 2039</t>
  </si>
  <si>
    <t xml:space="preserve">6abbf4cc17aa4c8f03436990</t>
  </si>
  <si>
    <t xml:space="preserve">Wink VIP 30-day full warranty</t>
  </si>
  <si>
    <t xml:space="preserve">6a8c875e9f2c24688527f03e</t>
  </si>
  <si>
    <t xml:space="preserve">Wink Vip 90D full warranty</t>
  </si>
  <si>
    <t xml:space="preserve">6ab580a2675d4138eb985f77</t>
  </si>
  <si>
    <t xml:space="preserve">Xingtu SVIP 7D full warranty</t>
  </si>
  <si>
    <t xml:space="preserve">6a8c87969f2c246885280216</t>
  </si>
  <si>
    <t xml:space="preserve">Xingtu Svip 30D full warranty</t>
  </si>
  <si>
    <t xml:space="preserve">بيعت: 19</t>
  </si>
  <si>
    <t xml:space="preserve">6a8c878b9f2c24688527ff59</t>
  </si>
  <si>
    <t xml:space="preserve">Xingtu Vip 30D full warranty</t>
  </si>
  <si>
    <t xml:space="preserve">بيعت: 44</t>
  </si>
  <si>
    <t xml:space="preserve">6ab580b5675d4138eb9860dc</t>
  </si>
  <si>
    <t xml:space="preserve">Xingtu VIPp 30D full warranty</t>
  </si>
  <si>
    <t xml:space="preserve">6ab580c1675d4138eb98618c</t>
  </si>
  <si>
    <t xml:space="preserve">Xingtu VIPpp 30D full warranty</t>
  </si>
  <si>
    <t xml:space="preserve">6aa267626bbf581350b74708</t>
  </si>
  <si>
    <t xml:space="preserve">Zoom Pro 14 Days full warranty</t>
  </si>
  <si>
    <t xml:space="preserve">بيعت: 145</t>
  </si>
  <si>
    <t xml:space="preserve">6aa2676a6bbf581350b7485c</t>
  </si>
  <si>
    <t xml:space="preserve">Zoom Pro 28 Days full warranty</t>
  </si>
  <si>
    <t xml:space="preserve">بيعت: 133</t>
  </si>
  <si>
    <t xml:space="preserve">6a8c87c29f2c2468852813e7</t>
  </si>
  <si>
    <t xml:space="preserve">Zoom Pro 28-day Trial (full warranty)</t>
  </si>
  <si>
    <t xml:space="preserve">بيعت: 69</t>
  </si>
  <si>
    <t xml:space="preserve">6abb98dddcfd14a98e5c0946</t>
  </si>
  <si>
    <t xml:space="preserve">Zoom Pro Trial 28D full warranty</t>
  </si>
  <si>
    <t xml:space="preserve">6aa39b540de12c6992d9436b</t>
  </si>
  <si>
    <t xml:space="preserve">Buff 1000 bot users for 1 month without warranty</t>
  </si>
  <si>
    <t xml:space="preserve">6a8c880c9f2c246885282cc8</t>
  </si>
  <si>
    <t xml:space="preserve">Auto Spam Telegram Plus 1 Month full warranty</t>
  </si>
  <si>
    <t xml:space="preserve">6aa39bd80de12c6992d95bd6</t>
  </si>
  <si>
    <t xml:space="preserve">Boost 1000 users using Bot for 1 month with full warranty</t>
  </si>
  <si>
    <t xml:space="preserve">6a8f04b43d3e2e255338db92</t>
  </si>
  <si>
    <t xml:space="preserve">Promo code bot Tele Binance 1 month full warranty</t>
  </si>
  <si>
    <t xml:space="preserve">6a8f047e3d3e2e255338cdba</t>
  </si>
  <si>
    <t xml:space="preserve">Tele VN promo code bot 1 month full warranty</t>
  </si>
  <si>
    <t xml:space="preserve">6aa04940a54ae9b9fd0729fe</t>
  </si>
  <si>
    <t xml:space="preserve">Upgrade to Telegram Premium 3 months full warranty</t>
  </si>
  <si>
    <t xml:space="preserve">6aa04ad2a54ae9b9fd07597f</t>
  </si>
  <si>
    <t xml:space="preserve">Upgrade to Telegram Premium 6 months full warranty</t>
  </si>
  <si>
    <t xml:space="preserve">6aa04b16a54ae9b9fd075fa3</t>
  </si>
  <si>
    <t xml:space="preserve">Upgrade to Telegram Premium 12 months full warranty</t>
  </si>
  <si>
    <t xml:space="preserve">6aa0479aa54ae9b9fd06f3cc</t>
  </si>
  <si>
    <t xml:space="preserve">Buff 1000 Members Channel/Telegram Group 1 year no warranty</t>
  </si>
  <si>
    <t xml:space="preserve">6aa04813a54ae9b9fd0704b4</t>
  </si>
  <si>
    <t xml:space="preserve">Buff 10,000 Channel/Group Members on Telegram, 1 year without warranty</t>
  </si>
  <si>
    <t xml:space="preserve">6aa42ea66231787f046077f4</t>
  </si>
  <si>
    <t xml:space="preserve">Buff 1000 Channel/Group Telegram Members for 1 year with 2 months warranty</t>
  </si>
  <si>
    <t xml:space="preserve">6aa42f066231787f046083b5</t>
  </si>
  <si>
    <t xml:space="preserve">Buff 10,000 Telegram Channel/Group Members 1 year warranty 2 months</t>
  </si>
  <si>
    <t xml:space="preserve">6aac361c5271203cb11b5ad9</t>
  </si>
  <si>
    <t xml:space="preserve">LinkedIn Premium Career Code 3 Months no warranty</t>
  </si>
  <si>
    <t xml:space="preserve">بيعت: 35</t>
  </si>
  <si>
    <t xml:space="preserve">6a8c886e9f2c246885284fe7</t>
  </si>
  <si>
    <t xml:space="preserve">Linkedin Pre Career Code 3 months</t>
  </si>
  <si>
    <t xml:space="preserve">بيعت: 99</t>
  </si>
  <si>
    <t xml:space="preserve">6aa2fbe0553547f0f1098c4f</t>
  </si>
  <si>
    <t xml:space="preserve">Beautiful edu 1 year warranty 3 months</t>
  </si>
  <si>
    <t xml:space="preserve">6aa6468ddf59fbc6fe34987f</t>
  </si>
  <si>
    <t xml:space="preserve">Gamma Pro Redeem 1 year</t>
  </si>
  <si>
    <t xml:space="preserve">6aa648dadf59fbc6fe34dea1</t>
  </si>
  <si>
    <t xml:space="preserve">gamma 10k credit bonus 10k 10 years warranty 3 months</t>
  </si>
  <si>
    <t xml:space="preserve">6aa64897df59fbc6fe34d5dc</t>
  </si>
  <si>
    <t xml:space="preserve">gamma 20k credit bonus 20k 10 years warranty 3 months</t>
  </si>
  <si>
    <t xml:space="preserve">6aab7fb2bb8cc3ed24a2072c</t>
  </si>
  <si>
    <t xml:space="preserve">gamma 40k credit bonus 40k 10 years warranty 3 months</t>
  </si>
  <si>
    <t xml:space="preserve">6aa64962df59fbc6fe34eede</t>
  </si>
  <si>
    <t xml:space="preserve">🔥gamma 40k credit bonus 120k 10 years warranty 4 months</t>
  </si>
  <si>
    <t xml:space="preserve">6ab67a09a85f2774f22f1426</t>
  </si>
  <si>
    <t xml:space="preserve">API Codex Unlimited 1 day full warranty</t>
  </si>
  <si>
    <t xml:space="preserve">6ab3e63e0944def028bc357d</t>
  </si>
  <si>
    <t xml:space="preserve">API Codex Astra $10 1 month full warranty</t>
  </si>
  <si>
    <t xml:space="preserve">بيعت: 30</t>
  </si>
  <si>
    <t xml:space="preserve">6ab3e6ea0944def028bc5220</t>
  </si>
  <si>
    <t xml:space="preserve">API Codex Astra $30 1 month full warranty</t>
  </si>
  <si>
    <t xml:space="preserve">6ab3edb70944def028bd9f4b</t>
  </si>
  <si>
    <t xml:space="preserve">API Codex Astra $50 1 month full warranty</t>
  </si>
  <si>
    <t xml:space="preserve">6ab3ee250944def028bdb180</t>
  </si>
  <si>
    <t xml:space="preserve">API Codex Astra $100 1 month full warranty</t>
  </si>
  <si>
    <t xml:space="preserve">6ab3ee480944def028bdb5bf</t>
  </si>
  <si>
    <t xml:space="preserve">API Codex Astra $200 1 month full warranty</t>
  </si>
  <si>
    <t xml:space="preserve">6ab3f1ca0944def028be6bd0</t>
  </si>
  <si>
    <t xml:space="preserve">API Codex Astra $300 1 month full warranty</t>
  </si>
  <si>
    <t xml:space="preserve">6ab3ee990944def028bdc51e</t>
  </si>
  <si>
    <t xml:space="preserve">API Codex Astra $500 1 month full warranty</t>
  </si>
  <si>
    <t xml:space="preserve">6ab80c1ca83a15aa6f5b7905</t>
  </si>
  <si>
    <t xml:space="preserve">API Codex Astra $1000 1 month full warranty</t>
  </si>
  <si>
    <t xml:space="preserve">6a8c8b649f2c24688528bec9</t>
  </si>
  <si>
    <t xml:space="preserve">Onlyfan Account $100 no warranty</t>
  </si>
  <si>
    <t xml:space="preserve">6a9d7cdbeab261fc8b672d2c</t>
  </si>
  <si>
    <t xml:space="preserve">Vietnamese TikTok soaked for over 1 year</t>
  </si>
  <si>
    <t xml:space="preserve">بيعت: 17</t>
  </si>
  <si>
    <t xml:space="preserve">6aba300d31a482e3ae1f069a</t>
  </si>
  <si>
    <t xml:space="preserve">❤️‍🔥 Tiktok 1k Fl LIVE STUDIO</t>
  </si>
  <si>
    <t xml:space="preserve">6aba815c31a482e3ae2ee7bb</t>
  </si>
  <si>
    <t xml:space="preserve">TikTok &lt; 900FL Has Cart - LiveStudio</t>
  </si>
  <si>
    <t xml:space="preserve">6aba817a31a482e3ae2eef44</t>
  </si>
  <si>
    <t xml:space="preserve">TikTok 1000FL With Shopping Cart - LiveStudio</t>
  </si>
  <si>
    <t xml:space="preserve">بيعت: 22</t>
  </si>
  <si>
    <t xml:space="preserve">6aba817131a482e3ae2eed70</t>
  </si>
  <si>
    <t xml:space="preserve">TikTok 1000FL With Cart-No LiveStudio</t>
  </si>
  <si>
    <t xml:space="preserve">6a8c88ad9f2c2468852855bd</t>
  </si>
  <si>
    <t xml:space="preserve">TikTok USA (US) 2024</t>
  </si>
  <si>
    <t xml:space="preserve">بيعت: 1627</t>
  </si>
  <si>
    <t xml:space="preserve">6aac34f25271203cb11b4035</t>
  </si>
  <si>
    <t xml:space="preserve">Express VPN 3 Days full warranty</t>
  </si>
  <si>
    <t xml:space="preserve">بيعت: 643</t>
  </si>
  <si>
    <t xml:space="preserve">6aac34f75271203cb11b40a1</t>
  </si>
  <si>
    <t xml:space="preserve">Express VPN 10 devices 3 days full warranty</t>
  </si>
  <si>
    <t xml:space="preserve">بيعت: 87</t>
  </si>
  <si>
    <t xml:space="preserve">6abbef3717aa4c8f03423a3c</t>
  </si>
  <si>
    <t xml:space="preserve">Express VPN 1 Month full warranty</t>
  </si>
  <si>
    <t xml:space="preserve">6abb94eedcfd14a98e5b535c</t>
  </si>
  <si>
    <t xml:space="preserve">Gold Locket 1 Year full warranty</t>
  </si>
  <si>
    <t xml:space="preserve">6aab7c5ebb8cc3ed24a19d03</t>
  </si>
  <si>
    <t xml:space="preserve">Autodesk Admin (3000 invitation) 3 years warranty 1 month</t>
  </si>
  <si>
    <t xml:space="preserve">6aac2f515271203cb11aa7ab</t>
  </si>
  <si>
    <t xml:space="preserve">Autodesk 1 App 3 years warranty 1 year</t>
  </si>
  <si>
    <t xml:space="preserve">6a8c8ae99f2c24688528a735</t>
  </si>
  <si>
    <t xml:space="preserve">Autodesk App All: AutoCAD, 3ds Max... 3 Years warranty 1 Year</t>
  </si>
  <si>
    <t xml:space="preserve">بيعت: 212</t>
  </si>
  <si>
    <t xml:space="preserve">6aac2f5e5271203cb11aaa60</t>
  </si>
  <si>
    <t xml:space="preserve">Autodesk Full App 3 years warranty 1 year</t>
  </si>
  <si>
    <t xml:space="preserve">6a8cef029f2c24688533d6b4</t>
  </si>
  <si>
    <t xml:space="preserve">HMA VPN log IOS/android/PC 1 month</t>
  </si>
  <si>
    <t xml:space="preserve">بيعت: 786</t>
  </si>
  <si>
    <t xml:space="preserve">6a8cef0b9f2c24688533d746</t>
  </si>
  <si>
    <t xml:space="preserve">[KEY] HMA Android PC 20 30 Days full warranty</t>
  </si>
  <si>
    <t xml:space="preserve">بيعت: 353</t>
  </si>
  <si>
    <t xml:space="preserve">6aa5920adf59fbc6fe231d94</t>
  </si>
  <si>
    <t xml:space="preserve">[Key] Redeem HMA VPN 12 Months 5 Devices Full Warranty</t>
  </si>
  <si>
    <t xml:space="preserve">6aa2f4f9553547f0f108f087</t>
  </si>
  <si>
    <t xml:space="preserve">Runway Pro Redeem 1 year</t>
  </si>
  <si>
    <t xml:space="preserve">6ab58071675d4138eb985c10</t>
  </si>
  <si>
    <t xml:space="preserve">Proton VPN 14-28 Days full warranty</t>
  </si>
  <si>
    <t xml:space="preserve">بيعت: 658</t>
  </si>
  <si>
    <t xml:space="preserve">6a92b92fcede049b334b973d</t>
  </si>
  <si>
    <t xml:space="preserve">Proton Unlimited 1 month - 30 Day warranty</t>
  </si>
  <si>
    <t xml:space="preserve">بيعت: 100</t>
  </si>
  <si>
    <t xml:space="preserve">6a8cef9b9f2c24688533ec0e</t>
  </si>
  <si>
    <t xml:space="preserve">Facebook Blue Check Dormant 1-8 Months Login Warranty</t>
  </si>
  <si>
    <t xml:space="preserve">6a9944afb7e5170fcbd9f2c7</t>
  </si>
  <si>
    <t xml:space="preserve">Unlock FACEBOOK suspended for 180 Days</t>
  </si>
  <si>
    <t xml:space="preserve">6a9944bfb7e5170fcbd9f475</t>
  </si>
  <si>
    <t xml:space="preserve">Unlock Facebook suspended for 180 days with original selfie</t>
  </si>
  <si>
    <t xml:space="preserve">6a9c50e6d92ddad6f97f4baa</t>
  </si>
  <si>
    <t xml:space="preserve">buff 1000 Follow Facebook PROFILE/PAGE</t>
  </si>
  <si>
    <t xml:space="preserve">6a9c517cd92ddad6f97f5b1d</t>
  </si>
  <si>
    <t xml:space="preserve">buff 10000 Follow Facebook PROFILE/PAGE</t>
  </si>
  <si>
    <t xml:space="preserve">6a8cefab9f2c24688533ee96</t>
  </si>
  <si>
    <t xml:space="preserve">Official Verified Facebook Guaranteed Login</t>
  </si>
  <si>
    <t xml:space="preserve">6a9944b7b7e5170fcbd9f378</t>
  </si>
  <si>
    <t xml:space="preserve">Unlock Facebook real person verification</t>
  </si>
  <si>
    <t xml:space="preserve">6a8dca81a806552096546d13</t>
  </si>
  <si>
    <t xml:space="preserve">Higgsfield Ultra 3K Credits 1 Month without warranty</t>
  </si>
  <si>
    <t xml:space="preserve">بيعت: 83</t>
  </si>
  <si>
    <t xml:space="preserve">6aab6de1bb8cc3ed249f9fd1</t>
  </si>
  <si>
    <t xml:space="preserve">Higgfield GenJutsu 1 Month 1h Warranty</t>
  </si>
  <si>
    <t xml:space="preserve">بيعت: 146</t>
  </si>
  <si>
    <t xml:space="preserve">6aa4470c6231787f0463efff</t>
  </si>
  <si>
    <t xml:space="preserve">Higgsfield Plus 1200 credit 1 month warranty 1 day</t>
  </si>
  <si>
    <t xml:space="preserve">6a9ef6414f6e4dbc77099aa9</t>
  </si>
  <si>
    <t xml:space="preserve">Higgsfield Start 280 credit 1 month warranty 1 day</t>
  </si>
  <si>
    <t xml:space="preserve">6a906196fdb56bd0dd4cd01d</t>
  </si>
  <si>
    <t xml:space="preserve">Higgsfield starter 1 month warranty 1 day</t>
  </si>
  <si>
    <t xml:space="preserve">بيعت: 337</t>
  </si>
  <si>
    <t xml:space="preserve">6aa04c8ea54ae9b9fd079b02</t>
  </si>
  <si>
    <t xml:space="preserve">Higgsfield Starter 300 credit 1 month warranty 1 day</t>
  </si>
  <si>
    <t xml:space="preserve">6aa04c94a54ae9b9fd079b4f</t>
  </si>
  <si>
    <t xml:space="preserve">Higgsfield Starter 400 credit 1 month 1-day warranty</t>
  </si>
  <si>
    <t xml:space="preserve">بيعت: 6</t>
  </si>
  <si>
    <t xml:space="preserve">6abd40a97e196463ea4542d3</t>
  </si>
  <si>
    <t xml:space="preserve">HIGG 2000 cre max plan 1 month warranty 3 days</t>
  </si>
  <si>
    <t xml:space="preserve">بيعت: 124</t>
  </si>
  <si>
    <t xml:space="preserve">6a8cf3fe9f2c24688534cd5f</t>
  </si>
  <si>
    <t xml:space="preserve">Higg Ultra 22k cre 1 month warranty 3 DAYS</t>
  </si>
  <si>
    <t xml:space="preserve">6ab7736906091296e447f5b5</t>
  </si>
  <si>
    <t xml:space="preserve">Higgsfield PLUS 1 month warranty 30D</t>
  </si>
  <si>
    <t xml:space="preserve">6aa2f496553547f0f108e81e</t>
  </si>
  <si>
    <t xml:space="preserve">Higgsfield Pro Redeem 12 months</t>
  </si>
  <si>
    <t xml:space="preserve">6ab57f5c675d4138eb9843a2</t>
  </si>
  <si>
    <t xml:space="preserve">Gmail Trial YouTube has been live for 6 months, 3-day warranty</t>
  </si>
  <si>
    <t xml:space="preserve">بيعت: 194</t>
  </si>
  <si>
    <t xml:space="preserve">6ab57f73675d4138eb98457b</t>
  </si>
  <si>
    <t xml:space="preserve">Gmail aged 6 months with YouTube trial</t>
  </si>
  <si>
    <t xml:space="preserve">بيعت: 1554</t>
  </si>
  <si>
    <t xml:space="preserve">6ab57f56675d4138eb98430d</t>
  </si>
  <si>
    <t xml:space="preserve">Gmail 2008-2019🌀can create a YouTube channel within 48 hours</t>
  </si>
  <si>
    <t xml:space="preserve">بيعت: 360</t>
  </si>
  <si>
    <t xml:space="preserve">6a953f223d7253ed3f651f3b</t>
  </si>
  <si>
    <t xml:space="preserve">Gmail (New) - Login All</t>
  </si>
  <si>
    <t xml:space="preserve">بيعت: 7306</t>
  </si>
  <si>
    <t xml:space="preserve">6ab57f78675d4138eb9845d1</t>
  </si>
  <si>
    <t xml:space="preserve">Gmail (New) - Login phone</t>
  </si>
  <si>
    <t xml:space="preserve">بيعت: 1491</t>
  </si>
  <si>
    <t xml:space="preserve">6aa6e30b95dd4469d4598ee2</t>
  </si>
  <si>
    <t xml:space="preserve">GMAIL OLD DATE 201X-202X</t>
  </si>
  <si>
    <t xml:space="preserve">بيعت: 5253</t>
  </si>
  <si>
    <t xml:space="preserve">6a8d2b82570ecc969bdfa8dd</t>
  </si>
  <si>
    <t xml:space="preserve">Old Random Gmail 2010~2022</t>
  </si>
  <si>
    <t xml:space="preserve">بيعت: 32339</t>
  </si>
  <si>
    <t xml:space="preserve">6ab914bb266735c89778f37e</t>
  </si>
  <si>
    <t xml:space="preserve">Gmail Random IP 2010-2016 has passed YouTube trial</t>
  </si>
  <si>
    <t xml:space="preserve">بيعت: 13915</t>
  </si>
  <si>
    <t xml:space="preserve">6ab57f50675d4138eb984283</t>
  </si>
  <si>
    <t xml:space="preserve">Gmail Random IP 2010-2016 trial YouTube</t>
  </si>
  <si>
    <t xml:space="preserve">بيعت: 31812</t>
  </si>
  <si>
    <t xml:space="preserve">6ab57f63675d4138eb98444d</t>
  </si>
  <si>
    <t xml:space="preserve">GMAIL TRIAL DATE 202X HAS 2FA</t>
  </si>
  <si>
    <t xml:space="preserve">بيعت: 3420</t>
  </si>
  <si>
    <t xml:space="preserve">6aa6e34d95dd4469d45998cc</t>
  </si>
  <si>
    <t xml:space="preserve">GMAIL TRIAL DATE 201X - 202X WITH 2FA</t>
  </si>
  <si>
    <t xml:space="preserve">بيعت: 1321</t>
  </si>
  <si>
    <t xml:space="preserve">6a9a93a4d7c232c4390364e0</t>
  </si>
  <si>
    <t xml:space="preserve">GMAIL US OLD DATE 201X TRIAL HAS 2FA</t>
  </si>
  <si>
    <t xml:space="preserve">بيعت: 4260</t>
  </si>
  <si>
    <t xml:space="preserve">6aa591abdf59fbc6fe2312a1</t>
  </si>
  <si>
    <t xml:space="preserve">Gmail USA new log all devices</t>
  </si>
  <si>
    <t xml:space="preserve">بيعت: 1155</t>
  </si>
  <si>
    <t xml:space="preserve">6ab914b2266735c89778f237</t>
  </si>
  <si>
    <t xml:space="preserve">Gmail Vietnam 2020-2024 2FA</t>
  </si>
  <si>
    <t xml:space="preserve">بيعت: 5164</t>
  </si>
  <si>
    <t xml:space="preserve">6ab13755f6d40479fddb5747</t>
  </si>
  <si>
    <t xml:space="preserve">Seedance 700~1k credit 1 Day - 1H warranty</t>
  </si>
  <si>
    <t xml:space="preserve">بيعت: 1017</t>
  </si>
  <si>
    <t xml:space="preserve">6aa5967adf59fbc6fe23b734</t>
  </si>
  <si>
    <t xml:space="preserve">Domo AI 630 credit 7 days warranty 1 day</t>
  </si>
  <si>
    <t xml:space="preserve">6abb8515dcfd14a98e57d13b</t>
  </si>
  <si>
    <t xml:space="preserve">Seedance 700 - 1.2k credit 1 month warranty 6h</t>
  </si>
  <si>
    <t xml:space="preserve">بيعت: 742</t>
  </si>
  <si>
    <t xml:space="preserve">6ab408d80944def028c2bac2</t>
  </si>
  <si>
    <t xml:space="preserve">Cursor Ultra 1 month (7D warranty)</t>
  </si>
  <si>
    <t xml:space="preserve">6aa815761c2a8212a204a463</t>
  </si>
  <si>
    <t xml:space="preserve">Cursor Pro Plus bonus Grok Bot redeem 1 month</t>
  </si>
  <si>
    <t xml:space="preserve">6a8e5c70a806552096674033</t>
  </si>
  <si>
    <t xml:space="preserve">API Cursor Pro 400 Credits/day 1 month full warranty</t>
  </si>
  <si>
    <t xml:space="preserve">بيعت: 493</t>
  </si>
  <si>
    <t xml:space="preserve">6a8e5c59a806552096673aef</t>
  </si>
  <si>
    <t xml:space="preserve">API Cursor Pro 2600 Credits 1 month full warranty</t>
  </si>
  <si>
    <t xml:space="preserve">بيعت: 3207</t>
  </si>
  <si>
    <t xml:space="preserve">6a8e5c7fa806552096674425</t>
  </si>
  <si>
    <t xml:space="preserve">API Cursor Pro 6500 Credits 1 month full warranty</t>
  </si>
  <si>
    <t xml:space="preserve">بيعت: 666</t>
  </si>
  <si>
    <t xml:space="preserve">6aa2ef4a553547f0f1085bb6</t>
  </si>
  <si>
    <t xml:space="preserve">Cursor Pro Redeem 12 months</t>
  </si>
  <si>
    <t xml:space="preserve">6a92a673cede049b3349b1b2</t>
  </si>
  <si>
    <t xml:space="preserve">بيعت: 457</t>
  </si>
  <si>
    <t xml:space="preserve">6a92a697cede049b3349b59d</t>
  </si>
  <si>
    <t xml:space="preserve">بيعت: 346</t>
  </si>
  <si>
    <t xml:space="preserve">6a92a6b9cede049b3349b93a</t>
  </si>
  <si>
    <t xml:space="preserve">🔥Minimax Redeem 7M Credit</t>
  </si>
  <si>
    <t xml:space="preserve">بيعت: 203</t>
  </si>
  <si>
    <t xml:space="preserve">6a9d73edeab261fc8b661f5d</t>
  </si>
  <si>
    <t xml:space="preserve">🔥Minimax Redeem 131K Credit</t>
  </si>
  <si>
    <t xml:space="preserve">بيعت: 23</t>
  </si>
  <si>
    <t xml:space="preserve">6a92a5f7cede049b3349a55d</t>
  </si>
  <si>
    <t xml:space="preserve">بيعت: 1216</t>
  </si>
  <si>
    <t xml:space="preserve">6aa80fe71c2a8212a203dd7e</t>
  </si>
  <si>
    <t xml:space="preserve">Apple ID 2FA Hotmail 24H warranty</t>
  </si>
  <si>
    <t xml:space="preserve">6aac2f3e5271203cb11aa586</t>
  </si>
  <si>
    <t xml:space="preserve">Apple ID CHBM 24-hour warranty</t>
  </si>
  <si>
    <t xml:space="preserve">6aa14141964e9acaa9b7ffe6</t>
  </si>
  <si>
    <t xml:space="preserve">Apple ID 2FA Gmail</t>
  </si>
  <si>
    <t xml:space="preserve">بيعت: 287</t>
  </si>
  <si>
    <t xml:space="preserve">6aaac57422a653bc6d03a101</t>
  </si>
  <si>
    <t xml:space="preserve">Duolingo Super 2 months full warranty</t>
  </si>
  <si>
    <t xml:space="preserve">6a95028382aa84e0cc388d9d</t>
  </si>
  <si>
    <t xml:space="preserve">Duolingo Max 3 Months full warranty</t>
  </si>
  <si>
    <t xml:space="preserve">6a95027482aa84e0cc388cc1</t>
  </si>
  <si>
    <t xml:space="preserve">Duolingo Super 3 Months full warranty</t>
  </si>
  <si>
    <t xml:space="preserve">6a9502a582aa84e0cc389038</t>
  </si>
  <si>
    <t xml:space="preserve">Duolingo Max 6 Months full warranty</t>
  </si>
  <si>
    <t xml:space="preserve">6a95027c82aa84e0cc388d61</t>
  </si>
  <si>
    <t xml:space="preserve">Duolingo Super 6 Months full warranty</t>
  </si>
  <si>
    <t xml:space="preserve">بيعت: 102</t>
  </si>
  <si>
    <t xml:space="preserve">6a9502ac82aa84e0cc3890e1</t>
  </si>
  <si>
    <t xml:space="preserve">Duolingo Max 12 Months full warranty</t>
  </si>
  <si>
    <t xml:space="preserve">6a95028b82aa84e0cc388e37</t>
  </si>
  <si>
    <t xml:space="preserve">Duolingo Super 12 Months full warranty</t>
  </si>
  <si>
    <t xml:space="preserve">بيعت: 57</t>
  </si>
  <si>
    <t xml:space="preserve">6aaee31886b42420149a56af</t>
  </si>
  <si>
    <t xml:space="preserve">Duolingo Super 1 year warranty 1 month</t>
  </si>
  <si>
    <t xml:space="preserve">بيعت: 2477</t>
  </si>
  <si>
    <t xml:space="preserve">6ab57edf675d4138eb98395d</t>
  </si>
  <si>
    <t xml:space="preserve">Link to Get Duolingo Super Offer 1 year with 1 month warranty</t>
  </si>
  <si>
    <t xml:space="preserve">بيعت: 375</t>
  </si>
  <si>
    <t xml:space="preserve">6a92d3a21499add86e977157</t>
  </si>
  <si>
    <t xml:space="preserve">Account X Stock 2009-2022 US Bull-Bear-BH24H</t>
  </si>
  <si>
    <t xml:space="preserve">6ab57fb0675d4138eb984a65</t>
  </si>
  <si>
    <t xml:space="preserve">Official GPM Login Key 1 month full warranty</t>
  </si>
  <si>
    <t xml:space="preserve">6a93fa0820da57002edfb2ca</t>
  </si>
  <si>
    <t xml:space="preserve">OFFICIAL KEY GPM LOGIN 3 MONTHS full warranty</t>
  </si>
  <si>
    <t xml:space="preserve">6ab57fc4675d4138eb984c22</t>
  </si>
  <si>
    <t xml:space="preserve">Official GPM Login Key with 6 months full warranty</t>
  </si>
  <si>
    <t xml:space="preserve">6a93fa1b20da57002edfb488</t>
  </si>
  <si>
    <t xml:space="preserve">OFFICIAL GPM LOGIN KEY 10 YEARS full warranty</t>
  </si>
  <si>
    <t xml:space="preserve">6ab13727f6d40479fddb4fa8</t>
  </si>
  <si>
    <t xml:space="preserve">Blox Fruits Roblox Devil Fruit (RANDOM)</t>
  </si>
  <si>
    <t xml:space="preserve">6a9af992d7c232c4391169ac</t>
  </si>
  <si>
    <t xml:space="preserve">Discord Gifting Badge x1</t>
  </si>
  <si>
    <t xml:space="preserve">6a9af99bd7c232c439116a6d</t>
  </si>
  <si>
    <t xml:space="preserve">Discord Gifting Badge x10</t>
  </si>
  <si>
    <t xml:space="preserve">6a9af9b1d7c232c4391170f6</t>
  </si>
  <si>
    <t xml:space="preserve">Discord Gifting Badge x20</t>
  </si>
  <si>
    <t xml:space="preserve">6aaee29886b42420149a3f37</t>
  </si>
  <si>
    <t xml:space="preserve">66K Decor Discord / Profile Effect Cheap (Login Type) - full warranty</t>
  </si>
  <si>
    <t xml:space="preserve">6aaee29d86b42420149a3fd9</t>
  </si>
  <si>
    <t xml:space="preserve">79K Decor Discord / Profile Effect Cheap (Login Type) - full warranty</t>
  </si>
  <si>
    <t xml:space="preserve">6aaee2a286b42420149a423e</t>
  </si>
  <si>
    <t xml:space="preserve">92K Decor Discord / Profile Effect Cheap (Login Type) - full warranty</t>
  </si>
  <si>
    <t xml:space="preserve">6aaee2a786b42420149a43a7</t>
  </si>
  <si>
    <t xml:space="preserve">105K Decor Discord / Profile Effect Cheap (Login Type) - full warranty</t>
  </si>
  <si>
    <t xml:space="preserve">6aaee2af86b42420149a445d</t>
  </si>
  <si>
    <t xml:space="preserve">111K Decor Discord / Profile Effect Cheap (Login Type) - full warranty</t>
  </si>
  <si>
    <t xml:space="preserve">6aaee2b586b42420149a4546</t>
  </si>
  <si>
    <t xml:space="preserve">131K Decor Discord / Profile Effect Cheap (Login Type) - full warranty</t>
  </si>
  <si>
    <t xml:space="preserve">6aaee2bf86b42420149a48b8</t>
  </si>
  <si>
    <t xml:space="preserve">141K Decor Discord / Profile Effect Cheap (Login Type) - full warranty</t>
  </si>
  <si>
    <t xml:space="preserve">6aaee2c686b42420149a498f</t>
  </si>
  <si>
    <t xml:space="preserve">170K Decor Discord / Profile Effect Cheap (Login Type) - full warranty</t>
  </si>
  <si>
    <t xml:space="preserve">6aaee2ef86b42420149a4f53</t>
  </si>
  <si>
    <t xml:space="preserve">Discord Nitro 1M Token not guaranteed</t>
  </si>
  <si>
    <t xml:space="preserve">6a9af9a8d7c232c439116c89</t>
  </si>
  <si>
    <t xml:space="preserve">6a97f1135aadae258c3a2e21</t>
  </si>
  <si>
    <t xml:space="preserve">6a97f10c5aadae258c3a2d02</t>
  </si>
  <si>
    <t xml:space="preserve">Discord Nitro 2 months full warranty</t>
  </si>
  <si>
    <t xml:space="preserve">6aaee2f486b42420149a4fae</t>
  </si>
  <si>
    <t xml:space="preserve">Discord Nitro 3M Token not guaranteed</t>
  </si>
  <si>
    <t xml:space="preserve">6a9af9c2d7c232c439117a17</t>
  </si>
  <si>
    <t xml:space="preserve">Discord Nitro Trial 3 months full warranty</t>
  </si>
  <si>
    <t xml:space="preserve">6a97f1195aadae258c3a2ef1</t>
  </si>
  <si>
    <t xml:space="preserve">Discord Nitro 1Y full warranty</t>
  </si>
  <si>
    <t xml:space="preserve">6aaee30c86b42420149a5244</t>
  </si>
  <si>
    <t xml:space="preserve">Discord Clone Account 2018 not warranty</t>
  </si>
  <si>
    <t xml:space="preserve">6aaee30386b42420149a5140</t>
  </si>
  <si>
    <t xml:space="preserve">Discord Clone Account 2019 not guaranteed</t>
  </si>
  <si>
    <t xml:space="preserve">6aaee2fc86b42420149a50ae</t>
  </si>
  <si>
    <t xml:space="preserve">Discord Clone Account 2020 not warranty</t>
  </si>
  <si>
    <t xml:space="preserve">6aa446b26231787f0463e756</t>
  </si>
  <si>
    <t xml:space="preserve">Discord token 24-hour warranty</t>
  </si>
  <si>
    <t xml:space="preserve">بيعت: 36</t>
  </si>
  <si>
    <t xml:space="preserve">6ab57fe4675d4138eb984f32</t>
  </si>
  <si>
    <t xml:space="preserve">HEYGEN CREATOR 1 MONTH (warranty 1 day)</t>
  </si>
  <si>
    <t xml:space="preserve">6a97f1585aadae258c3a3389</t>
  </si>
  <si>
    <t xml:space="preserve">Heygen Creator 1 month warranty 10d</t>
  </si>
  <si>
    <t xml:space="preserve">بيعت: 66</t>
  </si>
  <si>
    <t xml:space="preserve">6a99456cb7e5170fcbda07ed</t>
  </si>
  <si>
    <t xml:space="preserve">NordVPN code for 10 devices, 3 months, full warranty</t>
  </si>
  <si>
    <t xml:space="preserve">6ab136edf6d40479fddb46b4</t>
  </si>
  <si>
    <t xml:space="preserve">NORD VPN Android/PC/iOS 3-month slot full warranty</t>
  </si>
  <si>
    <t xml:space="preserve">بيعت: 183</t>
  </si>
  <si>
    <t xml:space="preserve">6a994548b7e5170fcbda046b</t>
  </si>
  <si>
    <t xml:space="preserve">KASPERSKY PREMIUM + VPN 1 YEAR (300-day warranty)</t>
  </si>
  <si>
    <t xml:space="preserve">بيعت: 163</t>
  </si>
  <si>
    <t xml:space="preserve">6a9c4ed3d92ddad6f97f0fb2</t>
  </si>
  <si>
    <t xml:space="preserve">Reddit clone account</t>
  </si>
  <si>
    <t xml:space="preserve">بيعت: 42</t>
  </si>
  <si>
    <t xml:space="preserve">6aa59641df59fbc6fe23b0ca</t>
  </si>
  <si>
    <t xml:space="preserve">Hotmail Trust OAuth2 Live Buffalo BH1D</t>
  </si>
  <si>
    <t xml:space="preserve">بيعت: 21693</t>
  </si>
  <si>
    <t xml:space="preserve">6aa257806bbf581350b4df28</t>
  </si>
  <si>
    <t xml:space="preserve">Scribd Premium 1 Month full warranty</t>
  </si>
  <si>
    <t xml:space="preserve">6aa80fa41c2a8212a203d2f4</t>
  </si>
  <si>
    <t xml:space="preserve">Akool Starter 200 cre 1 month (12H warranty)</t>
  </si>
  <si>
    <t xml:space="preserve">بيعت: 38</t>
  </si>
  <si>
    <t xml:space="preserve">6aa58fbfdf59fbc6fe22d8d5</t>
  </si>
  <si>
    <t xml:space="preserve">Akool PRO 600 Credit 1 month - 1D warranty</t>
  </si>
  <si>
    <t xml:space="preserve">6aa59219df59fbc6fe231fa5</t>
  </si>
  <si>
    <t xml:space="preserve">6aa59229df59fbc6fe2321c2</t>
  </si>
  <si>
    <t xml:space="preserve">6aa59230df59fbc6fe23228b</t>
  </si>
  <si>
    <t xml:space="preserve">6aa59224df59fbc6fe2320f8</t>
  </si>
  <si>
    <t xml:space="preserve">6aa645a1df59fbc6fe348119</t>
  </si>
  <si>
    <t xml:space="preserve">Wispr Flow Pro redeem 1 year</t>
  </si>
  <si>
    <t xml:space="preserve">6aa651fedf59fbc6fe35e620</t>
  </si>
  <si>
    <t xml:space="preserve">Manus Pro redeem 1 year</t>
  </si>
  <si>
    <t xml:space="preserve">6aa65264df59fbc6fe35ed6b</t>
  </si>
  <si>
    <t xml:space="preserve">Replit Core Redeem 1 year</t>
  </si>
  <si>
    <t xml:space="preserve">6aa652c9df59fbc6fe35f742</t>
  </si>
  <si>
    <t xml:space="preserve">N8N Starter Redeem 1 year</t>
  </si>
  <si>
    <t xml:space="preserve">6aa65319df59fbc6fe35fd27</t>
  </si>
  <si>
    <t xml:space="preserve">Railway Hobby Redeem 1 year</t>
  </si>
  <si>
    <t xml:space="preserve">6aa65504df59fbc6fe363211</t>
  </si>
  <si>
    <t xml:space="preserve">Perplexity Max Redeem 1 month</t>
  </si>
  <si>
    <t xml:space="preserve">6aab76a3bb8cc3ed24a0ecc7</t>
  </si>
  <si>
    <t xml:space="preserve">6aa654aedf59fbc6fe36253f</t>
  </si>
  <si>
    <t xml:space="preserve">Perplexity PRO Redeem 1 year</t>
  </si>
  <si>
    <t xml:space="preserve">6aa980b122a97e6cc9223390</t>
  </si>
  <si>
    <t xml:space="preserve">بيعت: 219</t>
  </si>
  <si>
    <t xml:space="preserve">6aaac55d22a653bc6d039ed7</t>
  </si>
  <si>
    <t xml:space="preserve">Cuty 1000 Credits $29.9 pro Plan 1 month (12H warranty)</t>
  </si>
  <si>
    <t xml:space="preserve">6aaac55722a653bc6d039df5</t>
  </si>
  <si>
    <t xml:space="preserve">Cuty ai 300 Credits $9.9 LitePlan 1 month (12H warranty)</t>
  </si>
  <si>
    <t xml:space="preserve">6ab57fd3675d4138eb984cfd</t>
  </si>
  <si>
    <t xml:space="preserve">Grammarly Pro 7-14 Days - full warranty</t>
  </si>
  <si>
    <t xml:space="preserve">6aac35b75271203cb11b50c9</t>
  </si>
  <si>
    <t xml:space="preserve">Grammarly AI Pro 1 Month full warranty</t>
  </si>
  <si>
    <t xml:space="preserve">بيعت: 77</t>
  </si>
  <si>
    <t xml:space="preserve">6aad199ea6aee7a7ee999ddb</t>
  </si>
  <si>
    <t xml:space="preserve">Quizlet Plus Unlimited 30 Days full warranty</t>
  </si>
  <si>
    <t xml:space="preserve">6aad19aea6aee7a7ee99a08e</t>
  </si>
  <si>
    <t xml:space="preserve">Quizlet Plus Unlimited 1 Year - full warranty</t>
  </si>
  <si>
    <t xml:space="preserve">6aaea981a6aee7a7eecc3755</t>
  </si>
  <si>
    <t xml:space="preserve">Netflix Premium 4K Slot 1 month full warranty 💚</t>
  </si>
  <si>
    <t xml:space="preserve">بيعت: 190</t>
  </si>
  <si>
    <t xml:space="preserve">6aad460da6aee7a7ee9fcf30</t>
  </si>
  <si>
    <t xml:space="preserve">6ab58081675d4138eb985d40</t>
  </si>
  <si>
    <t xml:space="preserve">SUNO PREMIER 1 MONTH (24H warranty)</t>
  </si>
  <si>
    <t xml:space="preserve">بيعت: 511</t>
  </si>
  <si>
    <t xml:space="preserve">6aad462ea6aee7a7ee9fd2fe</t>
  </si>
  <si>
    <t xml:space="preserve">Suno Pre 1 month warranty 7 days</t>
  </si>
  <si>
    <t xml:space="preserve">6ab13778f6d40479fddb5b13</t>
  </si>
  <si>
    <t xml:space="preserve">XBOX GAME PASS ULTIMATE - 1 YEAR (1 Month Warranty)</t>
  </si>
  <si>
    <t xml:space="preserve">بيعت: 267</t>
  </si>
  <si>
    <t xml:space="preserve">6ab2c52b253294d36e9037df</t>
  </si>
  <si>
    <t xml:space="preserve">Adguard VPN 7 Days full warranty</t>
  </si>
  <si>
    <t xml:space="preserve">6ab91402266735c89778d8ff</t>
  </si>
  <si>
    <t xml:space="preserve">Code Redeem $50 AWS (Amazon Web Service)</t>
  </si>
  <si>
    <t xml:space="preserve">6ab57dff675d4138eb9829e5</t>
  </si>
  <si>
    <t xml:space="preserve">Code redeem $150 Amazon Web Services (AWS) expiration 2028</t>
  </si>
  <si>
    <t xml:space="preserve">6ab57eca675d4138eb98370c</t>
  </si>
  <si>
    <t xml:space="preserve">Dropshot AI 1 month 24-hour warranty</t>
  </si>
  <si>
    <t xml:space="preserve">6ab57f11675d4138eb983e63</t>
  </si>
  <si>
    <t xml:space="preserve">Flux 03 1 month warranty 24h</t>
  </si>
  <si>
    <t xml:space="preserve">6ab57ff4675d4138eb985081</t>
  </si>
  <si>
    <t xml:space="preserve">Hotspot Shield VPN 7 Days full warranty</t>
  </si>
  <si>
    <t xml:space="preserve">بيعت: 26</t>
  </si>
  <si>
    <t xml:space="preserve">6ab57ffc675d4138eb9851dc</t>
  </si>
  <si>
    <t xml:space="preserve">IPVanish VPN 7 Days full warranty</t>
  </si>
  <si>
    <t xml:space="preserve">بيعت: 41</t>
  </si>
  <si>
    <t xml:space="preserve">6ab58001675d4138eb98526e</t>
  </si>
  <si>
    <t xml:space="preserve">Iqiyi Premium 1 Month full warranty</t>
  </si>
  <si>
    <t xml:space="preserve">بيعت: 32</t>
  </si>
  <si>
    <t xml:space="preserve">6ab58088675d4138eb985d87</t>
  </si>
  <si>
    <t xml:space="preserve">Surfshark VPN One 7 Days full warranty</t>
  </si>
  <si>
    <t xml:space="preserve">بيعت: 865</t>
  </si>
  <si>
    <t xml:space="preserve">6ab80948a83a15aa6f5b1e50</t>
  </si>
  <si>
    <t xml:space="preserve">6ab80980a83a15aa6f5b24af</t>
  </si>
  <si>
    <t xml:space="preserve">6ab809a7a83a15aa6f5b2982</t>
  </si>
  <si>
    <t xml:space="preserve">6ab809c9a83a15aa6f5b2c71</t>
  </si>
  <si>
    <t xml:space="preserve">بيعت: 7</t>
  </si>
  <si>
    <t xml:space="preserve">6ab80f4da83a15aa6f5bcde6</t>
  </si>
  <si>
    <t xml:space="preserve">API Qwen $10 for 1 month with full warranty</t>
  </si>
  <si>
    <t xml:space="preserve">6ab80f95a83a15aa6f5bd781</t>
  </si>
  <si>
    <t xml:space="preserve">API Qwen $30 for 1 month with full warranty</t>
  </si>
  <si>
    <t xml:space="preserve">6ab80faea83a15aa6f5bdad8</t>
  </si>
  <si>
    <t xml:space="preserve">Qwen API $50 for 1 month with full warranty</t>
  </si>
  <si>
    <t xml:space="preserve">6ab80fc5a83a15aa6f5bdd0f</t>
  </si>
  <si>
    <t xml:space="preserve">Qwen API $100 for 1 month with full warranty</t>
  </si>
  <si>
    <t xml:space="preserve">6ab91412266735c89778db4a</t>
  </si>
  <si>
    <t xml:space="preserve">BeautyCam Vip 30D full warranty</t>
  </si>
  <si>
    <t xml:space="preserve">6ab91451266735c89778e43e</t>
  </si>
  <si>
    <t xml:space="preserve">Coursera Premium 12 Months, 24H Warranty</t>
  </si>
  <si>
    <t xml:space="preserve">6ab9146e266735c89778e805</t>
  </si>
  <si>
    <t xml:space="preserve">Dreamina US 8k6 credit 7-day warranty 3D</t>
  </si>
  <si>
    <t xml:space="preserve">6abb45b6dcfd14a98e4c3f31</t>
  </si>
  <si>
    <t xml:space="preserve">Kiro Pro Edu Official Owner 1 Year - 1 Month Warranty</t>
  </si>
  <si>
    <t xml:space="preserve">6abbf01617aa4c8f0342831e</t>
  </si>
  <si>
    <t xml:space="preserve">6abbf01f17aa4c8f034286a0</t>
  </si>
  <si>
    <t xml:space="preserve">بيعت: 621</t>
  </si>
  <si>
    <t xml:space="preserve">6abbf02817aa4c8f034289b6</t>
  </si>
  <si>
    <t xml:space="preserve">6abbf4bb17aa4c8f0343662a</t>
  </si>
  <si>
    <t xml:space="preserve">بيعت: 1661</t>
  </si>
  <si>
    <t xml:space="preserve">DigitalCore</t>
  </si>
  <si>
    <t xml:space="preserve">gemini_pro_18_months</t>
  </si>
  <si>
    <t xml:space="preserve">Gemini Pro 18 Months</t>
  </si>
  <si>
    <t xml:space="preserve">من $0.7 بكميات</t>
  </si>
  <si>
    <t xml:space="preserve">nordvpn_3_months_basic</t>
  </si>
  <si>
    <t xml:space="preserve">NordVpn 3 Months Basic</t>
  </si>
  <si>
    <t xml:space="preserve">من $2.0 بكميات</t>
  </si>
  <si>
    <t xml:space="preserve">lovable_pro_lite_12_months_+_300_credits</t>
  </si>
  <si>
    <t xml:space="preserve">Lovable Pro Lite 12 months + 300 credits</t>
  </si>
  <si>
    <t xml:space="preserve">من $5.75 بكميات</t>
  </si>
  <si>
    <t xml:space="preserve">youtube_premium_3_months</t>
  </si>
  <si>
    <t xml:space="preserve">YouTube Premium 3 Months</t>
  </si>
  <si>
    <t xml:space="preserve">من $1.65 بكميات</t>
  </si>
  <si>
    <t xml:space="preserve">adobe_express_4_months_trial</t>
  </si>
  <si>
    <t xml:space="preserve">Adobe Express 4 Months Trial</t>
  </si>
  <si>
    <t xml:space="preserve">من $0.25 بكميات</t>
  </si>
  <si>
    <t xml:space="preserve">notion_business_3_months</t>
  </si>
  <si>
    <t xml:space="preserve">Notion Business 3 Months</t>
  </si>
  <si>
    <t xml:space="preserve">من $0.55 بكميات</t>
  </si>
  <si>
    <t xml:space="preserve">headspace_4_months</t>
  </si>
  <si>
    <t xml:space="preserve">Headspace 4 Months</t>
  </si>
  <si>
    <t xml:space="preserve">من $0.15 بكميات</t>
  </si>
  <si>
    <t xml:space="preserve">gemini_pro_3_months</t>
  </si>
  <si>
    <t xml:space="preserve">Gemini Pro 3 Months</t>
  </si>
  <si>
    <t xml:space="preserve">من $0.5 بكميات</t>
  </si>
  <si>
    <t xml:space="preserve">elevenlabs_creator_3_months</t>
  </si>
  <si>
    <t xml:space="preserve">ElevenLabs Creator 3 Months</t>
  </si>
  <si>
    <t xml:space="preserve">من $11.0 بكميات</t>
  </si>
  <si>
    <t xml:space="preserve">coursera_premium_12_months</t>
  </si>
  <si>
    <t xml:space="preserve">Coursera Premium 12 Months</t>
  </si>
  <si>
    <t xml:space="preserve">من $0.75 بكميات</t>
  </si>
  <si>
    <t xml:space="preserve">duolingo_super_12_months</t>
  </si>
  <si>
    <t xml:space="preserve">Duolingo Super 12 Months</t>
  </si>
  <si>
    <t xml:space="preserve">من $0.45 بكميات</t>
  </si>
  <si>
    <t xml:space="preserve">AIXpress</t>
  </si>
  <si>
    <t xml:space="preserve">service_1788129242</t>
  </si>
  <si>
    <t xml:space="preserve">service_?(aixpress-2)</t>
  </si>
  <si>
    <t xml:space="preserve">gemini pro 18m (2)</t>
  </si>
  <si>
    <t xml:space="preserve">RichAIStore</t>
  </si>
  <si>
    <t xml:space="preserve">CDK - Perplexity PRO 12 Months</t>
  </si>
  <si>
    <t xml:space="preserve">cdk</t>
  </si>
  <si>
    <t xml:space="preserve">سعر وحدتك: $19.0</t>
  </si>
  <si>
    <t xml:space="preserve">Gemini AI Pro 18 Months Activation Link</t>
  </si>
  <si>
    <t xml:space="preserve">سعر وحدتك: $0.73</t>
  </si>
  <si>
    <t xml:space="preserve">Adobe Creative Cloud - PRO 1 Month | Full Warranty</t>
  </si>
  <si>
    <t xml:space="preserve">team_invite</t>
  </si>
  <si>
    <t xml:space="preserve">سعر وحدتك: $5.0</t>
  </si>
  <si>
    <t xml:space="preserve">Figma EDU (PRO) 1Y</t>
  </si>
  <si>
    <t xml:space="preserve">سعر وحدتك: $6.0</t>
  </si>
  <si>
    <t xml:space="preserve">SuperGrok Heavy CDK 1 Month</t>
  </si>
  <si>
    <t xml:space="preserve">سعر وحدتك: $40.0</t>
  </si>
  <si>
    <t xml:space="preserve">CDK - Perplexity Max 1M</t>
  </si>
  <si>
    <t xml:space="preserve">سعر وحدتك: $30.0</t>
  </si>
  <si>
    <t xml:space="preserve">CDK - Perplexity Pro 1M</t>
  </si>
  <si>
    <t xml:space="preserve">سعر وحدتك: $6.5</t>
  </si>
  <si>
    <t xml:space="preserve">supplier_api</t>
  </si>
  <si>
    <t xml:space="preserve">سعر وحدتك: $1.89</t>
  </si>
  <si>
    <t xml:space="preserve">Replit Core 12m</t>
  </si>
  <si>
    <t xml:space="preserve">سعر وحدتك: $37.29</t>
  </si>
  <si>
    <t xml:space="preserve">سعر وحدتك: $34.99</t>
  </si>
  <si>
    <t xml:space="preserve">Notion Business 12m</t>
  </si>
  <si>
    <t xml:space="preserve">سعر وحدتك: $12.59</t>
  </si>
  <si>
    <t xml:space="preserve">سعر وحدتك: $11.49</t>
  </si>
  <si>
    <t xml:space="preserve">Wispr Flow Pro 12m</t>
  </si>
  <si>
    <t xml:space="preserve">سعر وحدتك: $17.89</t>
  </si>
  <si>
    <t xml:space="preserve">Runway Pro 12m</t>
  </si>
  <si>
    <t xml:space="preserve">سعر وحدتك: $31.29</t>
  </si>
  <si>
    <t xml:space="preserve">Gamma Pro 12m</t>
  </si>
  <si>
    <t xml:space="preserve">سعر وحدتك: $25.09</t>
  </si>
  <si>
    <t xml:space="preserve">SuperGrok Plus CDK 3 Months</t>
  </si>
  <si>
    <t xml:space="preserve">سعر وحدتك: $27.0</t>
  </si>
  <si>
    <t xml:space="preserve">سعر وحدتك: $0.6</t>
  </si>
  <si>
    <t xml:space="preserve">Adobe Express 12 Months</t>
  </si>
  <si>
    <t xml:space="preserve">سعر وحدتك: $0.8</t>
  </si>
  <si>
    <t xml:space="preserve">سعر وحدتك: $7.29</t>
  </si>
  <si>
    <t xml:space="preserve">سعر وحدتك: $8.49</t>
  </si>
  <si>
    <t xml:space="preserve">سعر وحدتك: $7.79</t>
  </si>
  <si>
    <t xml:space="preserve">سعر وحدتك: $2.29</t>
  </si>
  <si>
    <t xml:space="preserve">سعر وحدتك: $14.99</t>
  </si>
  <si>
    <t xml:space="preserve">سعر وحدتك: $0.89</t>
  </si>
  <si>
    <t xml:space="preserve">n8n Starter 12m</t>
  </si>
  <si>
    <t xml:space="preserve">سعر وحدتك: $13.09</t>
  </si>
  <si>
    <t xml:space="preserve">مقارنة الأسعار — cb_ مقابل canboso/PremiKey (111 زوجًا متطابقًا بالاسم)</t>
  </si>
  <si>
    <t xml:space="preserve">سعر cb_ $</t>
  </si>
  <si>
    <t xml:space="preserve">سعر canboso $</t>
  </si>
  <si>
    <t xml:space="preserve">النسبة cb_/canboso</t>
  </si>
  <si>
    <t xml:space="preserve">قراءة</t>
  </si>
  <si>
    <t xml:space="preserve">الوسيط</t>
  </si>
  <si>
    <t xml:space="preserve">وسيط النسبة 0.912 (p25 0.764 · p75 1.066) — cb_ أرخص إجمالًا → canboso ليس المنبع الظاهر · الاستثناء: خط Deepseek API (أرخص على canboso 1.6-1.7×)</t>
  </si>
  <si>
    <t xml:space="preserve">بوابة teamsoclo — تسعيرة النماذج (15 موديلًا · الإصدار a42d372c)</t>
  </si>
  <si>
    <t xml:space="preserve">الموديل</t>
  </si>
  <si>
    <t xml:space="preserve">نوع الحصة</t>
  </si>
  <si>
    <t xml:space="preserve">model_ratio</t>
  </si>
  <si>
    <t xml:space="preserve">model_price</t>
  </si>
  <si>
    <t xml:space="preserve">completion_ratio</t>
  </si>
  <si>
    <t xml:space="preserve">gpt-6-sol</t>
  </si>
  <si>
    <t xml:space="preserve">gpt-6-astra</t>
  </si>
  <si>
    <t xml:space="preserve">claude-opus-5</t>
  </si>
  <si>
    <t xml:space="preserve">gpt-5.6-sol</t>
  </si>
  <si>
    <t xml:space="preserve">gpt-6.1-sol</t>
  </si>
  <si>
    <t xml:space="preserve">gpt-astra</t>
  </si>
  <si>
    <t xml:space="preserve">claude-fable-5</t>
  </si>
  <si>
    <t xml:space="preserve">claude-opus-4-6</t>
  </si>
  <si>
    <t xml:space="preserve">claude-opus-4-7</t>
  </si>
  <si>
    <t xml:space="preserve">claude-sonnet-5</t>
  </si>
  <si>
    <t xml:space="preserve">claude-opus-4-8</t>
  </si>
  <si>
    <t xml:space="preserve">claude-sonnet-4-6</t>
  </si>
  <si>
    <t xml:space="preserve">claude-opus-5-5</t>
  </si>
  <si>
    <t xml:space="preserve">claude-fable-5-1</t>
  </si>
  <si>
    <t xml:space="preserve">gpt-6-luna</t>
  </si>
  <si>
    <t xml:space="preserve">المراجعة — فحوص التطابق</t>
  </si>
  <si>
    <t xml:space="preserve">فحص</t>
  </si>
  <si>
    <t xml:space="preserve">المتوقع</t>
  </si>
  <si>
    <t xml:space="preserve">الفعلي</t>
  </si>
  <si>
    <t xml:space="preserve">الحالة</t>
  </si>
  <si>
    <t xml:space="preserve">منتجات StackVault الحي</t>
  </si>
  <si>
    <t xml:space="preserve">منتجات StackVault الأرشيف</t>
  </si>
  <si>
    <t xml:space="preserve">سجلات الكيانات الخارجية</t>
  </si>
  <si>
    <t xml:space="preserve">أزواج مقارنة الأسعار</t>
  </si>
  <si>
    <t xml:space="preserve">موديلات البوابة</t>
  </si>
  <si>
    <t xml:space="preserve">إجمالي سجلات المنتجات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</si>
</sst>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"/>
    <numFmt numFmtId="167" formatCode="0.0%"/>
    <numFmt numFmtId="168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9"/>
      <color rgb="FF8C8A84"/>
      <name val="Noto Sans CJK SC"/>
      <family val="0"/>
      <charset val="1"/>
    </font>
    <font>
      <sz val="11"/>
      <color rgb="FF37352F"/>
      <name val="WenQuanYi Zen He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E9E9E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6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7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7" min="4" style="1" width="8"/>
    <col collapsed="false" customWidth="true" hidden="false" outlineLevel="0" max="8" min="8" style="1" width="23"/>
    <col collapsed="false" customWidth="true" hidden="false" outlineLevel="0" max="9" min="9" style="1" width="30"/>
    <col collapsed="false" customWidth="true" hidden="false" outlineLevel="0" max="10" min="10" style="1" width="46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customFormat="false" ht="21.75" hidden="false" customHeight="true" outlineLevel="0" collapsed="false">
      <c r="B5" s="4" t="s">
        <v>9</v>
      </c>
      <c r="C5" s="4" t="s">
        <v>10</v>
      </c>
      <c r="D5" s="5" t="n">
        <v>282</v>
      </c>
      <c r="E5" s="5" t="n">
        <v>0</v>
      </c>
      <c r="F5" s="6" t="n">
        <v>138.32</v>
      </c>
      <c r="G5" s="6" t="n">
        <v>228</v>
      </c>
      <c r="H5" s="4" t="s">
        <v>11</v>
      </c>
      <c r="I5" s="4" t="s">
        <v>12</v>
      </c>
    </row>
    <row r="6" customFormat="false" ht="21.75" hidden="false" customHeight="true" outlineLevel="0" collapsed="false">
      <c r="B6" s="7" t="s">
        <v>13</v>
      </c>
      <c r="C6" s="7" t="s">
        <v>14</v>
      </c>
      <c r="D6" s="8" t="n">
        <v>357</v>
      </c>
      <c r="E6" s="8" t="n">
        <v>0</v>
      </c>
      <c r="F6" s="9" t="n">
        <v>138.32</v>
      </c>
      <c r="G6" s="9" t="n">
        <v>0</v>
      </c>
      <c r="H6" s="7" t="s">
        <v>15</v>
      </c>
      <c r="I6" s="7" t="s">
        <v>16</v>
      </c>
    </row>
    <row r="7" customFormat="false" ht="21.75" hidden="false" customHeight="true" outlineLevel="0" collapsed="false">
      <c r="B7" s="4" t="s">
        <v>17</v>
      </c>
      <c r="C7" s="4" t="s">
        <v>18</v>
      </c>
      <c r="D7" s="5" t="n">
        <v>26</v>
      </c>
      <c r="E7" s="5" t="n">
        <v>0.09</v>
      </c>
      <c r="F7" s="6" t="n">
        <v>10</v>
      </c>
      <c r="G7" s="6" t="n">
        <v>23</v>
      </c>
      <c r="H7" s="4" t="s">
        <v>19</v>
      </c>
      <c r="I7" s="4" t="s">
        <v>20</v>
      </c>
    </row>
    <row r="8" customFormat="false" ht="21.75" hidden="false" customHeight="true" outlineLevel="0" collapsed="false">
      <c r="B8" s="7" t="s">
        <v>21</v>
      </c>
      <c r="C8" s="7" t="s">
        <v>22</v>
      </c>
      <c r="D8" s="8" t="n">
        <v>349</v>
      </c>
      <c r="E8" s="8" t="n">
        <v>0.04</v>
      </c>
      <c r="F8" s="9" t="n">
        <v>609.26</v>
      </c>
      <c r="G8" s="9" t="n">
        <v>249</v>
      </c>
      <c r="H8" s="7" t="s">
        <v>23</v>
      </c>
      <c r="I8" s="7" t="s">
        <v>24</v>
      </c>
    </row>
    <row r="9" customFormat="false" ht="21.75" hidden="false" customHeight="true" outlineLevel="0" collapsed="false">
      <c r="B9" s="4" t="s">
        <v>25</v>
      </c>
      <c r="C9" s="4" t="s">
        <v>26</v>
      </c>
      <c r="D9" s="5" t="n">
        <v>15</v>
      </c>
      <c r="E9" s="5" t="n">
        <v>0.13</v>
      </c>
      <c r="F9" s="6" t="n">
        <v>115.63</v>
      </c>
      <c r="G9" s="6" t="n">
        <v>9</v>
      </c>
      <c r="H9" s="4" t="s">
        <v>27</v>
      </c>
      <c r="I9" s="4" t="s">
        <v>28</v>
      </c>
    </row>
    <row r="10" customFormat="false" ht="21.75" hidden="false" customHeight="true" outlineLevel="0" collapsed="false">
      <c r="B10" s="7" t="s">
        <v>29</v>
      </c>
      <c r="C10" s="7" t="s">
        <v>30</v>
      </c>
      <c r="D10" s="8" t="n">
        <v>35</v>
      </c>
      <c r="E10" s="8" t="n">
        <v>0.29</v>
      </c>
      <c r="F10" s="9" t="n">
        <v>80</v>
      </c>
      <c r="G10" s="9" t="n">
        <v>16</v>
      </c>
      <c r="H10" s="7" t="s">
        <v>27</v>
      </c>
      <c r="I10" s="7" t="s">
        <v>31</v>
      </c>
    </row>
    <row r="11" customFormat="false" ht="21.75" hidden="false" customHeight="true" outlineLevel="0" collapsed="false">
      <c r="B11" s="4" t="s">
        <v>32</v>
      </c>
      <c r="C11" s="4" t="s">
        <v>33</v>
      </c>
      <c r="D11" s="5" t="n">
        <v>6</v>
      </c>
      <c r="E11" s="5" t="n">
        <v>0.35</v>
      </c>
      <c r="F11" s="6" t="n">
        <v>10</v>
      </c>
      <c r="G11" s="6" t="n">
        <v>5</v>
      </c>
      <c r="H11" s="4" t="s">
        <v>27</v>
      </c>
      <c r="I11" s="4" t="s">
        <v>34</v>
      </c>
    </row>
    <row r="12" customFormat="false" ht="21.75" hidden="false" customHeight="true" outlineLevel="0" collapsed="false">
      <c r="B12" s="7" t="s">
        <v>35</v>
      </c>
      <c r="C12" s="7" t="s">
        <v>36</v>
      </c>
      <c r="D12" s="8" t="n">
        <v>4</v>
      </c>
      <c r="E12" s="8" t="n">
        <v>0.3</v>
      </c>
      <c r="F12" s="9" t="n">
        <v>0.69</v>
      </c>
      <c r="G12" s="9" t="n">
        <v>4</v>
      </c>
      <c r="H12" s="7" t="s">
        <v>27</v>
      </c>
      <c r="I12" s="7" t="s">
        <v>37</v>
      </c>
    </row>
    <row r="13" customFormat="false" ht="21.75" hidden="false" customHeight="true" outlineLevel="0" collapsed="false">
      <c r="B13" s="4" t="s">
        <v>38</v>
      </c>
      <c r="C13" s="4" t="s">
        <v>39</v>
      </c>
      <c r="D13" s="5" t="n">
        <v>11</v>
      </c>
      <c r="E13" s="5" t="n">
        <v>0.25</v>
      </c>
      <c r="F13" s="6" t="n">
        <v>13</v>
      </c>
      <c r="G13" s="6" t="n">
        <v>10</v>
      </c>
      <c r="H13" s="4" t="s">
        <v>23</v>
      </c>
      <c r="I13" s="4" t="s">
        <v>40</v>
      </c>
    </row>
    <row r="14" customFormat="false" ht="21.75" hidden="false" customHeight="true" outlineLevel="0" collapsed="false">
      <c r="B14" s="7" t="s">
        <v>41</v>
      </c>
      <c r="C14" s="7" t="s">
        <v>42</v>
      </c>
      <c r="D14" s="8" t="n">
        <v>2</v>
      </c>
      <c r="E14" s="8" t="n">
        <v>0.45</v>
      </c>
      <c r="F14" s="9" t="n">
        <v>0.65</v>
      </c>
      <c r="G14" s="9" t="n">
        <v>0</v>
      </c>
      <c r="H14" s="7" t="s">
        <v>43</v>
      </c>
      <c r="I14" s="7" t="s">
        <v>44</v>
      </c>
    </row>
    <row r="15" customFormat="false" ht="21.75" hidden="false" customHeight="true" outlineLevel="0" collapsed="false">
      <c r="B15" s="4" t="s">
        <v>45</v>
      </c>
      <c r="C15" s="4" t="s">
        <v>46</v>
      </c>
      <c r="D15" s="5" t="n">
        <v>25</v>
      </c>
      <c r="E15" s="5" t="n">
        <v>0.6</v>
      </c>
      <c r="F15" s="6" t="n">
        <v>40</v>
      </c>
      <c r="G15" s="6" t="n">
        <v>15</v>
      </c>
      <c r="H15" s="4" t="s">
        <v>43</v>
      </c>
      <c r="I15" s="4" t="s">
        <v>47</v>
      </c>
    </row>
    <row r="16" customFormat="false" ht="21.75" hidden="false" customHeight="true" outlineLevel="0" collapsed="false">
      <c r="B16" s="7" t="s">
        <v>48</v>
      </c>
      <c r="C16" s="7" t="s">
        <v>49</v>
      </c>
      <c r="D16" s="8" t="n">
        <v>15</v>
      </c>
      <c r="E16" s="8"/>
      <c r="F16" s="9"/>
      <c r="G16" s="9"/>
      <c r="H16" s="7" t="s">
        <v>50</v>
      </c>
      <c r="I16" s="7" t="s">
        <v>51</v>
      </c>
    </row>
    <row r="17" customFormat="false" ht="25.5" hidden="false" customHeight="true" outlineLevel="0" collapsed="false">
      <c r="B17" s="10" t="s">
        <v>52</v>
      </c>
      <c r="C17" s="10"/>
      <c r="D17" s="11" t="n">
        <v>1112</v>
      </c>
      <c r="E17" s="10"/>
      <c r="F17" s="10"/>
      <c r="G17" s="10"/>
      <c r="H17" s="10"/>
      <c r="I17" s="10"/>
    </row>
    <row r="19" customFormat="false" ht="15" hidden="false" customHeight="false" outlineLevel="0" collapsed="false">
      <c r="B19" s="12" t="s">
        <v>53</v>
      </c>
    </row>
    <row r="20" customFormat="false" ht="15" hidden="false" customHeight="false" outlineLevel="0" collapsed="false">
      <c r="B20" s="12" t="s">
        <v>54</v>
      </c>
    </row>
    <row r="21" customFormat="false" ht="15" hidden="false" customHeight="false" outlineLevel="0" collapsed="false">
      <c r="B21" s="12" t="s">
        <v>55</v>
      </c>
    </row>
    <row r="22" customFormat="false" ht="15" hidden="false" customHeight="false" outlineLevel="0" collapsed="false">
      <c r="B22" s="12" t="s">
        <v>56</v>
      </c>
    </row>
    <row r="23" customFormat="false" ht="15" hidden="false" customHeight="false" outlineLevel="0" collapsed="false">
      <c r="B23" s="12" t="s">
        <v>57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9"/>
    <col collapsed="false" customWidth="true" hidden="false" outlineLevel="0" max="3" min="3" style="1" width="44"/>
    <col collapsed="false" customWidth="true" hidden="false" outlineLevel="0" max="4" min="4" style="1" width="30"/>
    <col collapsed="false" customWidth="true" hidden="false" outlineLevel="0" max="8" min="5" style="1" width="8"/>
    <col collapsed="false" customWidth="true" hidden="false" outlineLevel="0" max="9" min="9" style="1" width="48"/>
  </cols>
  <sheetData>
    <row r="2" customFormat="false" ht="31.5" hidden="false" customHeight="true" outlineLevel="0" collapsed="false">
      <c r="B2" s="2" t="s">
        <v>58</v>
      </c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59</v>
      </c>
      <c r="C4" s="3" t="s">
        <v>60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</row>
    <row r="5" customFormat="false" ht="21.75" hidden="false" customHeight="true" outlineLevel="0" collapsed="false">
      <c r="B5" s="4" t="s">
        <v>67</v>
      </c>
      <c r="C5" s="4" t="s">
        <v>68</v>
      </c>
      <c r="D5" s="4" t="s">
        <v>69</v>
      </c>
      <c r="E5" s="4" t="s">
        <v>70</v>
      </c>
      <c r="F5" s="5" t="n">
        <v>0</v>
      </c>
      <c r="G5" s="13" t="n">
        <v>999</v>
      </c>
      <c r="H5" s="4" t="s">
        <v>71</v>
      </c>
      <c r="I5" s="4" t="s">
        <v>72</v>
      </c>
    </row>
    <row r="6" customFormat="false" ht="21.75" hidden="false" customHeight="true" outlineLevel="0" collapsed="false">
      <c r="B6" s="7" t="s">
        <v>73</v>
      </c>
      <c r="C6" s="7" t="s">
        <v>74</v>
      </c>
      <c r="D6" s="7" t="s">
        <v>75</v>
      </c>
      <c r="E6" s="7" t="s">
        <v>76</v>
      </c>
      <c r="F6" s="8" t="n">
        <v>3.66</v>
      </c>
      <c r="G6" s="14" t="n">
        <v>20</v>
      </c>
      <c r="H6" s="7" t="s">
        <v>71</v>
      </c>
      <c r="I6" s="7" t="s">
        <v>77</v>
      </c>
    </row>
    <row r="7" customFormat="false" ht="21.75" hidden="false" customHeight="true" outlineLevel="0" collapsed="false">
      <c r="B7" s="4" t="s">
        <v>78</v>
      </c>
      <c r="C7" s="4" t="s">
        <v>79</v>
      </c>
      <c r="D7" s="4" t="s">
        <v>75</v>
      </c>
      <c r="E7" s="4" t="s">
        <v>76</v>
      </c>
      <c r="F7" s="5" t="n">
        <v>8.79</v>
      </c>
      <c r="G7" s="13" t="n">
        <v>2</v>
      </c>
      <c r="H7" s="4" t="s">
        <v>71</v>
      </c>
      <c r="I7" s="4" t="s">
        <v>80</v>
      </c>
    </row>
    <row r="8" customFormat="false" ht="21.75" hidden="false" customHeight="true" outlineLevel="0" collapsed="false">
      <c r="B8" s="7" t="s">
        <v>81</v>
      </c>
      <c r="C8" s="7" t="s">
        <v>82</v>
      </c>
      <c r="D8" s="7" t="s">
        <v>75</v>
      </c>
      <c r="E8" s="7" t="s">
        <v>76</v>
      </c>
      <c r="F8" s="8" t="n">
        <v>12.02</v>
      </c>
      <c r="G8" s="14" t="n">
        <v>15</v>
      </c>
      <c r="H8" s="7" t="s">
        <v>71</v>
      </c>
      <c r="I8" s="7" t="s">
        <v>80</v>
      </c>
    </row>
    <row r="9" customFormat="false" ht="21.75" hidden="false" customHeight="true" outlineLevel="0" collapsed="false">
      <c r="B9" s="4" t="s">
        <v>83</v>
      </c>
      <c r="C9" s="4" t="s">
        <v>82</v>
      </c>
      <c r="D9" s="4" t="s">
        <v>75</v>
      </c>
      <c r="E9" s="4" t="s">
        <v>76</v>
      </c>
      <c r="F9" s="5" t="n">
        <v>11.79</v>
      </c>
      <c r="G9" s="13" t="n">
        <v>0</v>
      </c>
      <c r="H9" s="4" t="s">
        <v>84</v>
      </c>
      <c r="I9" s="4" t="s">
        <v>85</v>
      </c>
    </row>
    <row r="10" customFormat="false" ht="21.75" hidden="false" customHeight="true" outlineLevel="0" collapsed="false">
      <c r="B10" s="7" t="s">
        <v>86</v>
      </c>
      <c r="C10" s="7" t="s">
        <v>87</v>
      </c>
      <c r="D10" s="7" t="s">
        <v>75</v>
      </c>
      <c r="E10" s="7" t="s">
        <v>76</v>
      </c>
      <c r="F10" s="8" t="n">
        <v>8.32</v>
      </c>
      <c r="G10" s="14" t="n">
        <v>0</v>
      </c>
      <c r="H10" s="7" t="s">
        <v>84</v>
      </c>
      <c r="I10" s="7" t="s">
        <v>88</v>
      </c>
    </row>
    <row r="11" customFormat="false" ht="21.75" hidden="false" customHeight="true" outlineLevel="0" collapsed="false">
      <c r="B11" s="4" t="s">
        <v>89</v>
      </c>
      <c r="C11" s="4" t="s">
        <v>90</v>
      </c>
      <c r="D11" s="4" t="s">
        <v>75</v>
      </c>
      <c r="E11" s="4" t="s">
        <v>76</v>
      </c>
      <c r="F11" s="5" t="n">
        <v>78.53</v>
      </c>
      <c r="G11" s="13" t="n">
        <v>4</v>
      </c>
      <c r="H11" s="4" t="s">
        <v>71</v>
      </c>
      <c r="I11" s="4" t="s">
        <v>91</v>
      </c>
    </row>
    <row r="12" customFormat="false" ht="21.75" hidden="false" customHeight="true" outlineLevel="0" collapsed="false">
      <c r="B12" s="7" t="s">
        <v>92</v>
      </c>
      <c r="C12" s="7" t="s">
        <v>93</v>
      </c>
      <c r="D12" s="7" t="s">
        <v>75</v>
      </c>
      <c r="E12" s="7" t="s">
        <v>76</v>
      </c>
      <c r="F12" s="8" t="n">
        <v>16.16</v>
      </c>
      <c r="G12" s="14" t="n">
        <v>2</v>
      </c>
      <c r="H12" s="7" t="s">
        <v>71</v>
      </c>
      <c r="I12" s="7" t="s">
        <v>94</v>
      </c>
    </row>
    <row r="13" customFormat="false" ht="21.75" hidden="false" customHeight="true" outlineLevel="0" collapsed="false">
      <c r="B13" s="4" t="s">
        <v>95</v>
      </c>
      <c r="C13" s="4" t="s">
        <v>96</v>
      </c>
      <c r="D13" s="4" t="s">
        <v>75</v>
      </c>
      <c r="E13" s="4" t="s">
        <v>76</v>
      </c>
      <c r="F13" s="5" t="n">
        <v>23.09</v>
      </c>
      <c r="G13" s="13" t="n">
        <v>0</v>
      </c>
      <c r="H13" s="4" t="s">
        <v>84</v>
      </c>
      <c r="I13" s="4" t="s">
        <v>88</v>
      </c>
    </row>
    <row r="14" customFormat="false" ht="21.75" hidden="false" customHeight="true" outlineLevel="0" collapsed="false">
      <c r="B14" s="7" t="s">
        <v>97</v>
      </c>
      <c r="C14" s="7" t="s">
        <v>98</v>
      </c>
      <c r="D14" s="7" t="s">
        <v>75</v>
      </c>
      <c r="E14" s="7" t="s">
        <v>76</v>
      </c>
      <c r="F14" s="8" t="n">
        <v>5.49</v>
      </c>
      <c r="G14" s="14" t="n">
        <v>15</v>
      </c>
      <c r="H14" s="7" t="s">
        <v>71</v>
      </c>
      <c r="I14" s="7" t="s">
        <v>99</v>
      </c>
    </row>
    <row r="15" customFormat="false" ht="21.75" hidden="false" customHeight="true" outlineLevel="0" collapsed="false">
      <c r="B15" s="4" t="s">
        <v>100</v>
      </c>
      <c r="C15" s="4" t="s">
        <v>101</v>
      </c>
      <c r="D15" s="4" t="s">
        <v>75</v>
      </c>
      <c r="E15" s="4" t="s">
        <v>76</v>
      </c>
      <c r="F15" s="5" t="n">
        <v>19.82</v>
      </c>
      <c r="G15" s="13" t="n">
        <v>0</v>
      </c>
      <c r="H15" s="4" t="s">
        <v>84</v>
      </c>
      <c r="I15" s="4" t="s">
        <v>102</v>
      </c>
    </row>
    <row r="16" customFormat="false" ht="21.75" hidden="false" customHeight="true" outlineLevel="0" collapsed="false">
      <c r="B16" s="7" t="s">
        <v>103</v>
      </c>
      <c r="C16" s="7" t="s">
        <v>104</v>
      </c>
      <c r="D16" s="7" t="s">
        <v>105</v>
      </c>
      <c r="E16" s="7" t="s">
        <v>76</v>
      </c>
      <c r="F16" s="8" t="n">
        <v>41.44</v>
      </c>
      <c r="G16" s="14" t="n">
        <v>44</v>
      </c>
      <c r="H16" s="7" t="s">
        <v>71</v>
      </c>
      <c r="I16" s="7" t="s">
        <v>106</v>
      </c>
    </row>
    <row r="17" customFormat="false" ht="21.75" hidden="false" customHeight="true" outlineLevel="0" collapsed="false">
      <c r="B17" s="4" t="s">
        <v>107</v>
      </c>
      <c r="C17" s="4" t="s">
        <v>108</v>
      </c>
      <c r="D17" s="4" t="s">
        <v>105</v>
      </c>
      <c r="E17" s="4" t="s">
        <v>76</v>
      </c>
      <c r="F17" s="5" t="n">
        <v>23.06</v>
      </c>
      <c r="G17" s="13" t="n">
        <v>28</v>
      </c>
      <c r="H17" s="4" t="s">
        <v>71</v>
      </c>
      <c r="I17" s="4" t="s">
        <v>106</v>
      </c>
    </row>
    <row r="18" customFormat="false" ht="21.75" hidden="false" customHeight="true" outlineLevel="0" collapsed="false">
      <c r="B18" s="7" t="s">
        <v>109</v>
      </c>
      <c r="C18" s="7" t="s">
        <v>110</v>
      </c>
      <c r="D18" s="7" t="s">
        <v>105</v>
      </c>
      <c r="E18" s="7" t="s">
        <v>76</v>
      </c>
      <c r="F18" s="8" t="n">
        <v>3.66</v>
      </c>
      <c r="G18" s="14" t="n">
        <v>57</v>
      </c>
      <c r="H18" s="7" t="s">
        <v>71</v>
      </c>
      <c r="I18" s="7" t="s">
        <v>106</v>
      </c>
    </row>
    <row r="19" customFormat="false" ht="21.75" hidden="false" customHeight="true" outlineLevel="0" collapsed="false">
      <c r="B19" s="4" t="s">
        <v>111</v>
      </c>
      <c r="C19" s="4" t="s">
        <v>112</v>
      </c>
      <c r="D19" s="4" t="s">
        <v>105</v>
      </c>
      <c r="E19" s="4" t="s">
        <v>76</v>
      </c>
      <c r="F19" s="5" t="n">
        <v>4.58</v>
      </c>
      <c r="G19" s="13" t="n">
        <v>38</v>
      </c>
      <c r="H19" s="4" t="s">
        <v>71</v>
      </c>
      <c r="I19" s="4" t="s">
        <v>106</v>
      </c>
    </row>
    <row r="20" customFormat="false" ht="21.75" hidden="false" customHeight="true" outlineLevel="0" collapsed="false">
      <c r="B20" s="7" t="s">
        <v>113</v>
      </c>
      <c r="C20" s="7" t="s">
        <v>114</v>
      </c>
      <c r="D20" s="7" t="s">
        <v>105</v>
      </c>
      <c r="E20" s="7" t="s">
        <v>76</v>
      </c>
      <c r="F20" s="8" t="n">
        <v>1.23</v>
      </c>
      <c r="G20" s="14" t="n">
        <v>77</v>
      </c>
      <c r="H20" s="7" t="s">
        <v>71</v>
      </c>
      <c r="I20" s="7" t="s">
        <v>106</v>
      </c>
    </row>
    <row r="21" customFormat="false" ht="21.75" hidden="false" customHeight="true" outlineLevel="0" collapsed="false">
      <c r="B21" s="4" t="s">
        <v>115</v>
      </c>
      <c r="C21" s="4" t="s">
        <v>116</v>
      </c>
      <c r="D21" s="4" t="s">
        <v>105</v>
      </c>
      <c r="E21" s="4" t="s">
        <v>76</v>
      </c>
      <c r="F21" s="5" t="n">
        <v>1.96</v>
      </c>
      <c r="G21" s="13" t="n">
        <v>78</v>
      </c>
      <c r="H21" s="4" t="s">
        <v>71</v>
      </c>
      <c r="I21" s="4" t="s">
        <v>106</v>
      </c>
    </row>
    <row r="22" customFormat="false" ht="21.75" hidden="false" customHeight="true" outlineLevel="0" collapsed="false">
      <c r="B22" s="7" t="s">
        <v>117</v>
      </c>
      <c r="C22" s="7" t="s">
        <v>118</v>
      </c>
      <c r="D22" s="7" t="s">
        <v>105</v>
      </c>
      <c r="E22" s="7" t="s">
        <v>76</v>
      </c>
      <c r="F22" s="8" t="n">
        <v>5</v>
      </c>
      <c r="G22" s="14" t="n">
        <v>55</v>
      </c>
      <c r="H22" s="7" t="s">
        <v>71</v>
      </c>
      <c r="I22" s="7" t="s">
        <v>106</v>
      </c>
    </row>
    <row r="23" customFormat="false" ht="21.75" hidden="false" customHeight="true" outlineLevel="0" collapsed="false">
      <c r="B23" s="4" t="s">
        <v>119</v>
      </c>
      <c r="C23" s="4" t="s">
        <v>120</v>
      </c>
      <c r="D23" s="4" t="s">
        <v>105</v>
      </c>
      <c r="E23" s="4" t="s">
        <v>76</v>
      </c>
      <c r="F23" s="5" t="n">
        <v>6.36</v>
      </c>
      <c r="G23" s="13" t="n">
        <v>33</v>
      </c>
      <c r="H23" s="4" t="s">
        <v>71</v>
      </c>
      <c r="I23" s="4" t="s">
        <v>106</v>
      </c>
    </row>
    <row r="24" customFormat="false" ht="21.75" hidden="false" customHeight="true" outlineLevel="0" collapsed="false">
      <c r="B24" s="7" t="s">
        <v>121</v>
      </c>
      <c r="C24" s="7" t="s">
        <v>122</v>
      </c>
      <c r="D24" s="7" t="s">
        <v>105</v>
      </c>
      <c r="E24" s="7" t="s">
        <v>76</v>
      </c>
      <c r="F24" s="8" t="n">
        <v>1.72</v>
      </c>
      <c r="G24" s="14" t="n">
        <v>85</v>
      </c>
      <c r="H24" s="7" t="s">
        <v>71</v>
      </c>
      <c r="I24" s="7" t="s">
        <v>106</v>
      </c>
    </row>
    <row r="25" customFormat="false" ht="21.75" hidden="false" customHeight="true" outlineLevel="0" collapsed="false">
      <c r="B25" s="4" t="s">
        <v>123</v>
      </c>
      <c r="C25" s="4" t="s">
        <v>124</v>
      </c>
      <c r="D25" s="4" t="s">
        <v>105</v>
      </c>
      <c r="E25" s="4" t="s">
        <v>76</v>
      </c>
      <c r="F25" s="5" t="n">
        <v>2.45</v>
      </c>
      <c r="G25" s="13" t="n">
        <v>90</v>
      </c>
      <c r="H25" s="4" t="s">
        <v>71</v>
      </c>
      <c r="I25" s="4" t="s">
        <v>106</v>
      </c>
    </row>
    <row r="26" customFormat="false" ht="21.75" hidden="false" customHeight="true" outlineLevel="0" collapsed="false">
      <c r="B26" s="7" t="s">
        <v>125</v>
      </c>
      <c r="C26" s="7" t="s">
        <v>126</v>
      </c>
      <c r="D26" s="7" t="s">
        <v>105</v>
      </c>
      <c r="E26" s="7" t="s">
        <v>76</v>
      </c>
      <c r="F26" s="8" t="n">
        <v>9.1</v>
      </c>
      <c r="G26" s="14" t="n">
        <v>78</v>
      </c>
      <c r="H26" s="7" t="s">
        <v>71</v>
      </c>
      <c r="I26" s="7" t="s">
        <v>106</v>
      </c>
    </row>
    <row r="27" customFormat="false" ht="21.75" hidden="false" customHeight="true" outlineLevel="0" collapsed="false">
      <c r="B27" s="4" t="s">
        <v>127</v>
      </c>
      <c r="C27" s="4" t="s">
        <v>128</v>
      </c>
      <c r="D27" s="4" t="s">
        <v>105</v>
      </c>
      <c r="E27" s="4" t="s">
        <v>76</v>
      </c>
      <c r="F27" s="5" t="n">
        <v>16.88</v>
      </c>
      <c r="G27" s="13" t="n">
        <v>49</v>
      </c>
      <c r="H27" s="4" t="s">
        <v>71</v>
      </c>
      <c r="I27" s="4" t="s">
        <v>106</v>
      </c>
    </row>
    <row r="28" customFormat="false" ht="21.75" hidden="false" customHeight="true" outlineLevel="0" collapsed="false">
      <c r="B28" s="7" t="s">
        <v>129</v>
      </c>
      <c r="C28" s="7" t="s">
        <v>130</v>
      </c>
      <c r="D28" s="7" t="s">
        <v>105</v>
      </c>
      <c r="E28" s="7" t="s">
        <v>76</v>
      </c>
      <c r="F28" s="8" t="n">
        <v>2.52</v>
      </c>
      <c r="G28" s="14" t="n">
        <v>58</v>
      </c>
      <c r="H28" s="7" t="s">
        <v>71</v>
      </c>
      <c r="I28" s="7" t="s">
        <v>106</v>
      </c>
    </row>
    <row r="29" customFormat="false" ht="21.75" hidden="false" customHeight="true" outlineLevel="0" collapsed="false">
      <c r="B29" s="4" t="s">
        <v>131</v>
      </c>
      <c r="C29" s="4" t="s">
        <v>132</v>
      </c>
      <c r="D29" s="4" t="s">
        <v>105</v>
      </c>
      <c r="E29" s="4" t="s">
        <v>76</v>
      </c>
      <c r="F29" s="5" t="n">
        <v>2.75</v>
      </c>
      <c r="G29" s="13" t="n">
        <v>86</v>
      </c>
      <c r="H29" s="4" t="s">
        <v>71</v>
      </c>
      <c r="I29" s="4" t="s">
        <v>106</v>
      </c>
    </row>
    <row r="30" customFormat="false" ht="21.75" hidden="false" customHeight="true" outlineLevel="0" collapsed="false">
      <c r="B30" s="7" t="s">
        <v>133</v>
      </c>
      <c r="C30" s="7" t="s">
        <v>134</v>
      </c>
      <c r="D30" s="7" t="s">
        <v>105</v>
      </c>
      <c r="E30" s="7" t="s">
        <v>76</v>
      </c>
      <c r="F30" s="8" t="n">
        <v>0.4</v>
      </c>
      <c r="G30" s="14" t="n">
        <v>30</v>
      </c>
      <c r="H30" s="7" t="s">
        <v>71</v>
      </c>
      <c r="I30" s="7" t="s">
        <v>135</v>
      </c>
    </row>
    <row r="31" customFormat="false" ht="21.75" hidden="false" customHeight="true" outlineLevel="0" collapsed="false">
      <c r="B31" s="4" t="s">
        <v>136</v>
      </c>
      <c r="C31" s="4" t="s">
        <v>137</v>
      </c>
      <c r="D31" s="4" t="s">
        <v>105</v>
      </c>
      <c r="E31" s="4" t="s">
        <v>76</v>
      </c>
      <c r="F31" s="5" t="n">
        <v>138.32</v>
      </c>
      <c r="G31" s="13" t="n">
        <v>11</v>
      </c>
      <c r="H31" s="4" t="s">
        <v>71</v>
      </c>
      <c r="I31" s="4" t="s">
        <v>138</v>
      </c>
    </row>
    <row r="32" customFormat="false" ht="21.75" hidden="false" customHeight="true" outlineLevel="0" collapsed="false">
      <c r="B32" s="7" t="s">
        <v>139</v>
      </c>
      <c r="C32" s="7" t="s">
        <v>140</v>
      </c>
      <c r="D32" s="7" t="s">
        <v>105</v>
      </c>
      <c r="E32" s="7" t="s">
        <v>76</v>
      </c>
      <c r="F32" s="8" t="n">
        <v>14.63</v>
      </c>
      <c r="G32" s="14" t="n">
        <v>49</v>
      </c>
      <c r="H32" s="7" t="s">
        <v>71</v>
      </c>
      <c r="I32" s="7" t="s">
        <v>138</v>
      </c>
    </row>
    <row r="33" customFormat="false" ht="21.75" hidden="false" customHeight="true" outlineLevel="0" collapsed="false">
      <c r="B33" s="4" t="s">
        <v>141</v>
      </c>
      <c r="C33" s="4" t="s">
        <v>142</v>
      </c>
      <c r="D33" s="4" t="s">
        <v>105</v>
      </c>
      <c r="E33" s="4" t="s">
        <v>76</v>
      </c>
      <c r="F33" s="5" t="n">
        <v>1.91</v>
      </c>
      <c r="G33" s="13" t="n">
        <v>88</v>
      </c>
      <c r="H33" s="4" t="s">
        <v>71</v>
      </c>
      <c r="I33" s="4" t="s">
        <v>143</v>
      </c>
    </row>
    <row r="34" customFormat="false" ht="21.75" hidden="false" customHeight="true" outlineLevel="0" collapsed="false">
      <c r="B34" s="7" t="s">
        <v>144</v>
      </c>
      <c r="C34" s="7" t="s">
        <v>145</v>
      </c>
      <c r="D34" s="7" t="s">
        <v>105</v>
      </c>
      <c r="E34" s="7" t="s">
        <v>76</v>
      </c>
      <c r="F34" s="8" t="n">
        <v>36.52</v>
      </c>
      <c r="G34" s="14" t="n">
        <v>39</v>
      </c>
      <c r="H34" s="7" t="s">
        <v>71</v>
      </c>
      <c r="I34" s="7" t="s">
        <v>138</v>
      </c>
    </row>
    <row r="35" customFormat="false" ht="21.75" hidden="false" customHeight="true" outlineLevel="0" collapsed="false">
      <c r="B35" s="4" t="s">
        <v>146</v>
      </c>
      <c r="C35" s="4" t="s">
        <v>147</v>
      </c>
      <c r="D35" s="4" t="s">
        <v>105</v>
      </c>
      <c r="E35" s="4" t="s">
        <v>76</v>
      </c>
      <c r="F35" s="5" t="n">
        <v>3.44</v>
      </c>
      <c r="G35" s="13" t="n">
        <v>97</v>
      </c>
      <c r="H35" s="4" t="s">
        <v>71</v>
      </c>
      <c r="I35" s="4" t="s">
        <v>148</v>
      </c>
    </row>
    <row r="36" customFormat="false" ht="21.75" hidden="false" customHeight="true" outlineLevel="0" collapsed="false">
      <c r="B36" s="7" t="s">
        <v>149</v>
      </c>
      <c r="C36" s="7" t="s">
        <v>150</v>
      </c>
      <c r="D36" s="7" t="s">
        <v>105</v>
      </c>
      <c r="E36" s="7" t="s">
        <v>76</v>
      </c>
      <c r="F36" s="8" t="n">
        <v>63.99</v>
      </c>
      <c r="G36" s="14" t="n">
        <v>22</v>
      </c>
      <c r="H36" s="7" t="s">
        <v>71</v>
      </c>
      <c r="I36" s="7" t="s">
        <v>138</v>
      </c>
    </row>
    <row r="37" customFormat="false" ht="21.75" hidden="false" customHeight="true" outlineLevel="0" collapsed="false">
      <c r="B37" s="4" t="s">
        <v>151</v>
      </c>
      <c r="C37" s="4" t="s">
        <v>152</v>
      </c>
      <c r="D37" s="4" t="s">
        <v>105</v>
      </c>
      <c r="E37" s="4" t="s">
        <v>76</v>
      </c>
      <c r="F37" s="5" t="n">
        <v>7.73</v>
      </c>
      <c r="G37" s="13" t="n">
        <v>48</v>
      </c>
      <c r="H37" s="4" t="s">
        <v>71</v>
      </c>
      <c r="I37" s="4" t="s">
        <v>138</v>
      </c>
    </row>
    <row r="38" customFormat="false" ht="21.75" hidden="false" customHeight="true" outlineLevel="0" collapsed="false">
      <c r="B38" s="7" t="s">
        <v>153</v>
      </c>
      <c r="C38" s="7" t="s">
        <v>154</v>
      </c>
      <c r="D38" s="7" t="s">
        <v>155</v>
      </c>
      <c r="E38" s="7" t="s">
        <v>76</v>
      </c>
      <c r="F38" s="8" t="n">
        <v>1.73</v>
      </c>
      <c r="G38" s="14" t="n">
        <v>7</v>
      </c>
      <c r="H38" s="7" t="s">
        <v>71</v>
      </c>
      <c r="I38" s="7" t="s">
        <v>156</v>
      </c>
    </row>
    <row r="39" customFormat="false" ht="21.75" hidden="false" customHeight="true" outlineLevel="0" collapsed="false">
      <c r="B39" s="4" t="s">
        <v>157</v>
      </c>
      <c r="C39" s="4" t="s">
        <v>158</v>
      </c>
      <c r="D39" s="4" t="s">
        <v>155</v>
      </c>
      <c r="E39" s="4" t="s">
        <v>76</v>
      </c>
      <c r="F39" s="5" t="n">
        <v>3.24</v>
      </c>
      <c r="G39" s="13" t="n">
        <v>7</v>
      </c>
      <c r="H39" s="4" t="s">
        <v>71</v>
      </c>
      <c r="I39" s="4" t="s">
        <v>156</v>
      </c>
    </row>
    <row r="40" customFormat="false" ht="21.75" hidden="false" customHeight="true" outlineLevel="0" collapsed="false">
      <c r="B40" s="7" t="s">
        <v>159</v>
      </c>
      <c r="C40" s="7" t="s">
        <v>160</v>
      </c>
      <c r="D40" s="7" t="s">
        <v>161</v>
      </c>
      <c r="E40" s="7" t="s">
        <v>76</v>
      </c>
      <c r="F40" s="8" t="n">
        <v>26.76</v>
      </c>
      <c r="G40" s="14" t="n">
        <v>0</v>
      </c>
      <c r="H40" s="7" t="s">
        <v>84</v>
      </c>
      <c r="I40" s="7" t="s">
        <v>162</v>
      </c>
    </row>
    <row r="41" customFormat="false" ht="21.75" hidden="false" customHeight="true" outlineLevel="0" collapsed="false">
      <c r="B41" s="4" t="s">
        <v>163</v>
      </c>
      <c r="C41" s="4" t="s">
        <v>164</v>
      </c>
      <c r="D41" s="4" t="s">
        <v>161</v>
      </c>
      <c r="E41" s="4" t="s">
        <v>76</v>
      </c>
      <c r="F41" s="5" t="n">
        <v>11.9</v>
      </c>
      <c r="G41" s="13" t="n">
        <v>8</v>
      </c>
      <c r="H41" s="4" t="s">
        <v>71</v>
      </c>
      <c r="I41" s="4" t="s">
        <v>165</v>
      </c>
    </row>
    <row r="42" customFormat="false" ht="21.75" hidden="false" customHeight="true" outlineLevel="0" collapsed="false">
      <c r="B42" s="7" t="s">
        <v>166</v>
      </c>
      <c r="C42" s="7" t="s">
        <v>167</v>
      </c>
      <c r="D42" s="7" t="s">
        <v>168</v>
      </c>
      <c r="E42" s="7" t="s">
        <v>169</v>
      </c>
      <c r="F42" s="8" t="n">
        <v>1.6</v>
      </c>
      <c r="G42" s="14" t="n">
        <v>150</v>
      </c>
      <c r="H42" s="7" t="s">
        <v>71</v>
      </c>
      <c r="I42" s="7" t="s">
        <v>170</v>
      </c>
    </row>
    <row r="43" customFormat="false" ht="21.75" hidden="false" customHeight="true" outlineLevel="0" collapsed="false">
      <c r="B43" s="4" t="s">
        <v>171</v>
      </c>
      <c r="C43" s="4" t="s">
        <v>172</v>
      </c>
      <c r="D43" s="4" t="s">
        <v>168</v>
      </c>
      <c r="E43" s="4" t="s">
        <v>169</v>
      </c>
      <c r="F43" s="5" t="n">
        <v>2.05</v>
      </c>
      <c r="G43" s="13" t="n">
        <v>15</v>
      </c>
      <c r="H43" s="4" t="s">
        <v>71</v>
      </c>
      <c r="I43" s="4" t="s">
        <v>173</v>
      </c>
    </row>
    <row r="44" customFormat="false" ht="21.75" hidden="false" customHeight="true" outlineLevel="0" collapsed="false">
      <c r="B44" s="7" t="s">
        <v>174</v>
      </c>
      <c r="C44" s="7" t="s">
        <v>175</v>
      </c>
      <c r="D44" s="7" t="s">
        <v>168</v>
      </c>
      <c r="E44" s="7" t="s">
        <v>76</v>
      </c>
      <c r="F44" s="8" t="n">
        <v>0.18</v>
      </c>
      <c r="G44" s="14" t="n">
        <v>192</v>
      </c>
      <c r="H44" s="7" t="s">
        <v>71</v>
      </c>
      <c r="I44" s="7" t="s">
        <v>176</v>
      </c>
    </row>
    <row r="45" customFormat="false" ht="21.75" hidden="false" customHeight="true" outlineLevel="0" collapsed="false">
      <c r="B45" s="4" t="s">
        <v>177</v>
      </c>
      <c r="C45" s="4" t="s">
        <v>178</v>
      </c>
      <c r="D45" s="4" t="s">
        <v>168</v>
      </c>
      <c r="E45" s="4" t="s">
        <v>169</v>
      </c>
      <c r="F45" s="5" t="n">
        <v>0.14</v>
      </c>
      <c r="G45" s="13" t="n">
        <v>0</v>
      </c>
      <c r="H45" s="4" t="s">
        <v>84</v>
      </c>
      <c r="I45" s="4" t="s">
        <v>179</v>
      </c>
    </row>
    <row r="46" customFormat="false" ht="21.75" hidden="false" customHeight="true" outlineLevel="0" collapsed="false">
      <c r="B46" s="7" t="s">
        <v>180</v>
      </c>
      <c r="C46" s="7" t="s">
        <v>181</v>
      </c>
      <c r="D46" s="7" t="s">
        <v>168</v>
      </c>
      <c r="E46" s="7" t="s">
        <v>169</v>
      </c>
      <c r="F46" s="8" t="n">
        <v>9.99</v>
      </c>
      <c r="G46" s="14" t="n">
        <v>25</v>
      </c>
      <c r="H46" s="7" t="s">
        <v>71</v>
      </c>
      <c r="I46" s="7" t="s">
        <v>182</v>
      </c>
    </row>
    <row r="47" customFormat="false" ht="21.75" hidden="false" customHeight="true" outlineLevel="0" collapsed="false">
      <c r="B47" s="4" t="s">
        <v>183</v>
      </c>
      <c r="C47" s="4" t="s">
        <v>184</v>
      </c>
      <c r="D47" s="4" t="s">
        <v>168</v>
      </c>
      <c r="E47" s="4" t="s">
        <v>76</v>
      </c>
      <c r="F47" s="5" t="n">
        <v>0.16</v>
      </c>
      <c r="G47" s="13" t="n">
        <v>406</v>
      </c>
      <c r="H47" s="4" t="s">
        <v>71</v>
      </c>
      <c r="I47" s="4" t="s">
        <v>185</v>
      </c>
    </row>
    <row r="48" customFormat="false" ht="21.75" hidden="false" customHeight="true" outlineLevel="0" collapsed="false">
      <c r="B48" s="7" t="s">
        <v>186</v>
      </c>
      <c r="C48" s="7" t="s">
        <v>187</v>
      </c>
      <c r="D48" s="7" t="s">
        <v>168</v>
      </c>
      <c r="E48" s="7" t="s">
        <v>169</v>
      </c>
      <c r="F48" s="8" t="n">
        <v>0.2</v>
      </c>
      <c r="G48" s="14" t="n">
        <v>6</v>
      </c>
      <c r="H48" s="7" t="s">
        <v>71</v>
      </c>
      <c r="I48" s="7" t="s">
        <v>188</v>
      </c>
    </row>
    <row r="49" customFormat="false" ht="21.75" hidden="false" customHeight="true" outlineLevel="0" collapsed="false">
      <c r="B49" s="4" t="s">
        <v>189</v>
      </c>
      <c r="C49" s="4" t="s">
        <v>190</v>
      </c>
      <c r="D49" s="4" t="s">
        <v>191</v>
      </c>
      <c r="E49" s="4" t="s">
        <v>76</v>
      </c>
      <c r="F49" s="5" t="n">
        <v>10.01</v>
      </c>
      <c r="G49" s="13" t="n">
        <v>2</v>
      </c>
      <c r="H49" s="4" t="s">
        <v>71</v>
      </c>
      <c r="I49" s="4" t="s">
        <v>192</v>
      </c>
    </row>
    <row r="50" customFormat="false" ht="21.75" hidden="false" customHeight="true" outlineLevel="0" collapsed="false">
      <c r="B50" s="7" t="s">
        <v>193</v>
      </c>
      <c r="C50" s="7" t="s">
        <v>194</v>
      </c>
      <c r="D50" s="7" t="s">
        <v>191</v>
      </c>
      <c r="E50" s="7" t="s">
        <v>76</v>
      </c>
      <c r="F50" s="8" t="n">
        <v>14.13</v>
      </c>
      <c r="G50" s="14" t="n">
        <v>1</v>
      </c>
      <c r="H50" s="7" t="s">
        <v>71</v>
      </c>
      <c r="I50" s="7" t="s">
        <v>195</v>
      </c>
    </row>
    <row r="51" customFormat="false" ht="21.75" hidden="false" customHeight="true" outlineLevel="0" collapsed="false">
      <c r="B51" s="4" t="s">
        <v>196</v>
      </c>
      <c r="C51" s="4" t="s">
        <v>197</v>
      </c>
      <c r="D51" s="4" t="s">
        <v>191</v>
      </c>
      <c r="E51" s="4" t="s">
        <v>76</v>
      </c>
      <c r="F51" s="5" t="n">
        <v>14.13</v>
      </c>
      <c r="G51" s="13" t="n">
        <v>1</v>
      </c>
      <c r="H51" s="4" t="s">
        <v>71</v>
      </c>
      <c r="I51" s="4" t="s">
        <v>198</v>
      </c>
    </row>
    <row r="52" customFormat="false" ht="21.75" hidden="false" customHeight="true" outlineLevel="0" collapsed="false">
      <c r="B52" s="7" t="s">
        <v>199</v>
      </c>
      <c r="C52" s="7" t="s">
        <v>200</v>
      </c>
      <c r="D52" s="7" t="s">
        <v>201</v>
      </c>
      <c r="E52" s="7" t="s">
        <v>202</v>
      </c>
      <c r="F52" s="8" t="n">
        <v>24</v>
      </c>
      <c r="G52" s="14" t="n">
        <v>1</v>
      </c>
      <c r="H52" s="7" t="s">
        <v>71</v>
      </c>
      <c r="I52" s="7" t="s">
        <v>203</v>
      </c>
    </row>
    <row r="53" customFormat="false" ht="21.75" hidden="false" customHeight="true" outlineLevel="0" collapsed="false">
      <c r="B53" s="4" t="s">
        <v>204</v>
      </c>
      <c r="C53" s="4" t="s">
        <v>205</v>
      </c>
      <c r="D53" s="4" t="s">
        <v>206</v>
      </c>
      <c r="E53" s="4" t="s">
        <v>76</v>
      </c>
      <c r="F53" s="5" t="n">
        <v>9.23</v>
      </c>
      <c r="G53" s="13" t="n">
        <v>1</v>
      </c>
      <c r="H53" s="4" t="s">
        <v>71</v>
      </c>
      <c r="I53" s="4" t="s">
        <v>188</v>
      </c>
    </row>
    <row r="54" customFormat="false" ht="21.75" hidden="false" customHeight="true" outlineLevel="0" collapsed="false">
      <c r="B54" s="7" t="s">
        <v>207</v>
      </c>
      <c r="C54" s="7" t="s">
        <v>208</v>
      </c>
      <c r="D54" s="7" t="s">
        <v>206</v>
      </c>
      <c r="E54" s="7" t="s">
        <v>76</v>
      </c>
      <c r="F54" s="8" t="n">
        <v>9.33</v>
      </c>
      <c r="G54" s="14" t="n">
        <v>8</v>
      </c>
      <c r="H54" s="7" t="s">
        <v>71</v>
      </c>
      <c r="I54" s="7" t="s">
        <v>209</v>
      </c>
    </row>
    <row r="55" customFormat="false" ht="21.75" hidden="false" customHeight="true" outlineLevel="0" collapsed="false">
      <c r="B55" s="4" t="s">
        <v>210</v>
      </c>
      <c r="C55" s="4" t="s">
        <v>211</v>
      </c>
      <c r="D55" s="4" t="s">
        <v>206</v>
      </c>
      <c r="E55" s="4" t="s">
        <v>76</v>
      </c>
      <c r="F55" s="5" t="n">
        <v>6.87</v>
      </c>
      <c r="G55" s="13" t="n">
        <v>0</v>
      </c>
      <c r="H55" s="4" t="s">
        <v>84</v>
      </c>
      <c r="I55" s="4" t="s">
        <v>212</v>
      </c>
    </row>
    <row r="56" customFormat="false" ht="21.75" hidden="false" customHeight="true" outlineLevel="0" collapsed="false">
      <c r="B56" s="7" t="s">
        <v>213</v>
      </c>
      <c r="C56" s="7" t="s">
        <v>214</v>
      </c>
      <c r="D56" s="7" t="s">
        <v>206</v>
      </c>
      <c r="E56" s="7" t="s">
        <v>76</v>
      </c>
      <c r="F56" s="8" t="n">
        <v>6.87</v>
      </c>
      <c r="G56" s="14" t="n">
        <v>0</v>
      </c>
      <c r="H56" s="7" t="s">
        <v>84</v>
      </c>
      <c r="I56" s="7" t="s">
        <v>215</v>
      </c>
    </row>
    <row r="57" customFormat="false" ht="21.75" hidden="false" customHeight="true" outlineLevel="0" collapsed="false">
      <c r="B57" s="4" t="s">
        <v>216</v>
      </c>
      <c r="C57" s="4" t="s">
        <v>217</v>
      </c>
      <c r="D57" s="4" t="s">
        <v>206</v>
      </c>
      <c r="E57" s="4" t="s">
        <v>76</v>
      </c>
      <c r="F57" s="5" t="n">
        <v>3.21</v>
      </c>
      <c r="G57" s="13" t="n">
        <v>0</v>
      </c>
      <c r="H57" s="4" t="s">
        <v>84</v>
      </c>
      <c r="I57" s="4" t="s">
        <v>218</v>
      </c>
    </row>
    <row r="58" customFormat="false" ht="21.75" hidden="false" customHeight="true" outlineLevel="0" collapsed="false">
      <c r="B58" s="7" t="s">
        <v>219</v>
      </c>
      <c r="C58" s="7" t="s">
        <v>220</v>
      </c>
      <c r="D58" s="7" t="s">
        <v>206</v>
      </c>
      <c r="E58" s="7" t="s">
        <v>202</v>
      </c>
      <c r="F58" s="8" t="n">
        <v>8.4</v>
      </c>
      <c r="G58" s="14" t="n">
        <v>7</v>
      </c>
      <c r="H58" s="7" t="s">
        <v>71</v>
      </c>
      <c r="I58" s="7" t="s">
        <v>221</v>
      </c>
    </row>
    <row r="59" customFormat="false" ht="21.75" hidden="false" customHeight="true" outlineLevel="0" collapsed="false">
      <c r="B59" s="4" t="s">
        <v>222</v>
      </c>
      <c r="C59" s="4" t="s">
        <v>223</v>
      </c>
      <c r="D59" s="4" t="s">
        <v>206</v>
      </c>
      <c r="E59" s="4" t="s">
        <v>76</v>
      </c>
      <c r="F59" s="5" t="n">
        <v>12.81</v>
      </c>
      <c r="G59" s="13" t="n">
        <v>53</v>
      </c>
      <c r="H59" s="4" t="s">
        <v>71</v>
      </c>
      <c r="I59" s="4" t="s">
        <v>224</v>
      </c>
    </row>
    <row r="60" customFormat="false" ht="21.75" hidden="false" customHeight="true" outlineLevel="0" collapsed="false">
      <c r="B60" s="7" t="s">
        <v>225</v>
      </c>
      <c r="C60" s="7" t="s">
        <v>226</v>
      </c>
      <c r="D60" s="7" t="s">
        <v>227</v>
      </c>
      <c r="E60" s="7" t="s">
        <v>76</v>
      </c>
      <c r="F60" s="8" t="n">
        <v>5.73</v>
      </c>
      <c r="G60" s="14" t="n">
        <v>16</v>
      </c>
      <c r="H60" s="7" t="s">
        <v>71</v>
      </c>
      <c r="I60" s="7" t="s">
        <v>228</v>
      </c>
    </row>
    <row r="61" customFormat="false" ht="21.75" hidden="false" customHeight="true" outlineLevel="0" collapsed="false">
      <c r="B61" s="4" t="s">
        <v>229</v>
      </c>
      <c r="C61" s="4" t="s">
        <v>230</v>
      </c>
      <c r="D61" s="4" t="s">
        <v>227</v>
      </c>
      <c r="E61" s="4" t="s">
        <v>76</v>
      </c>
      <c r="F61" s="5" t="n">
        <v>8.46</v>
      </c>
      <c r="G61" s="13" t="n">
        <v>12</v>
      </c>
      <c r="H61" s="4" t="s">
        <v>71</v>
      </c>
      <c r="I61" s="4" t="s">
        <v>231</v>
      </c>
    </row>
    <row r="62" customFormat="false" ht="21.75" hidden="false" customHeight="true" outlineLevel="0" collapsed="false">
      <c r="B62" s="7" t="s">
        <v>232</v>
      </c>
      <c r="C62" s="7" t="s">
        <v>233</v>
      </c>
      <c r="D62" s="7" t="s">
        <v>227</v>
      </c>
      <c r="E62" s="7" t="s">
        <v>76</v>
      </c>
      <c r="F62" s="8" t="n">
        <v>13.04</v>
      </c>
      <c r="G62" s="14" t="n">
        <v>6</v>
      </c>
      <c r="H62" s="7" t="s">
        <v>71</v>
      </c>
      <c r="I62" s="7" t="s">
        <v>234</v>
      </c>
    </row>
    <row r="63" customFormat="false" ht="21.75" hidden="false" customHeight="true" outlineLevel="0" collapsed="false">
      <c r="B63" s="4" t="s">
        <v>235</v>
      </c>
      <c r="C63" s="4" t="s">
        <v>236</v>
      </c>
      <c r="D63" s="4" t="s">
        <v>227</v>
      </c>
      <c r="E63" s="4" t="s">
        <v>76</v>
      </c>
      <c r="F63" s="5" t="n">
        <v>7.32</v>
      </c>
      <c r="G63" s="13" t="n">
        <v>202</v>
      </c>
      <c r="H63" s="4" t="s">
        <v>71</v>
      </c>
      <c r="I63" s="4" t="s">
        <v>237</v>
      </c>
    </row>
    <row r="64" customFormat="false" ht="21.75" hidden="false" customHeight="true" outlineLevel="0" collapsed="false">
      <c r="B64" s="7" t="s">
        <v>238</v>
      </c>
      <c r="C64" s="7" t="s">
        <v>239</v>
      </c>
      <c r="D64" s="7" t="s">
        <v>227</v>
      </c>
      <c r="E64" s="7" t="s">
        <v>76</v>
      </c>
      <c r="F64" s="8" t="n">
        <v>16.46</v>
      </c>
      <c r="G64" s="14" t="n">
        <v>88</v>
      </c>
      <c r="H64" s="7" t="s">
        <v>71</v>
      </c>
      <c r="I64" s="7" t="s">
        <v>240</v>
      </c>
    </row>
    <row r="65" customFormat="false" ht="21.75" hidden="false" customHeight="true" outlineLevel="0" collapsed="false">
      <c r="B65" s="4" t="s">
        <v>241</v>
      </c>
      <c r="C65" s="4" t="s">
        <v>242</v>
      </c>
      <c r="D65" s="4" t="s">
        <v>243</v>
      </c>
      <c r="E65" s="4" t="s">
        <v>76</v>
      </c>
      <c r="F65" s="5" t="n">
        <v>12.81</v>
      </c>
      <c r="G65" s="13" t="n">
        <v>7</v>
      </c>
      <c r="H65" s="4" t="s">
        <v>71</v>
      </c>
      <c r="I65" s="4" t="s">
        <v>188</v>
      </c>
    </row>
    <row r="66" customFormat="false" ht="21.75" hidden="false" customHeight="true" outlineLevel="0" collapsed="false">
      <c r="B66" s="7" t="s">
        <v>244</v>
      </c>
      <c r="C66" s="7" t="s">
        <v>245</v>
      </c>
      <c r="D66" s="7" t="s">
        <v>243</v>
      </c>
      <c r="E66" s="7" t="s">
        <v>202</v>
      </c>
      <c r="F66" s="8" t="n">
        <v>2</v>
      </c>
      <c r="G66" s="14" t="n">
        <v>230</v>
      </c>
      <c r="H66" s="7" t="s">
        <v>71</v>
      </c>
      <c r="I66" s="7" t="s">
        <v>246</v>
      </c>
    </row>
    <row r="67" customFormat="false" ht="21.75" hidden="false" customHeight="true" outlineLevel="0" collapsed="false">
      <c r="B67" s="4" t="s">
        <v>247</v>
      </c>
      <c r="C67" s="4" t="s">
        <v>248</v>
      </c>
      <c r="D67" s="4" t="s">
        <v>243</v>
      </c>
      <c r="E67" s="4" t="s">
        <v>169</v>
      </c>
      <c r="F67" s="5" t="n">
        <v>0.67</v>
      </c>
      <c r="G67" s="13" t="n">
        <v>283</v>
      </c>
      <c r="H67" s="4" t="s">
        <v>71</v>
      </c>
      <c r="I67" s="4" t="s">
        <v>249</v>
      </c>
    </row>
    <row r="68" customFormat="false" ht="21.75" hidden="false" customHeight="true" outlineLevel="0" collapsed="false">
      <c r="B68" s="7" t="s">
        <v>250</v>
      </c>
      <c r="C68" s="7" t="s">
        <v>251</v>
      </c>
      <c r="D68" s="7" t="s">
        <v>252</v>
      </c>
      <c r="E68" s="7" t="s">
        <v>76</v>
      </c>
      <c r="F68" s="8" t="n">
        <v>13.72</v>
      </c>
      <c r="G68" s="14" t="n">
        <v>0</v>
      </c>
      <c r="H68" s="7" t="s">
        <v>84</v>
      </c>
      <c r="I68" s="7" t="s">
        <v>253</v>
      </c>
    </row>
    <row r="69" customFormat="false" ht="21.75" hidden="false" customHeight="true" outlineLevel="0" collapsed="false">
      <c r="B69" s="4" t="s">
        <v>254</v>
      </c>
      <c r="C69" s="4" t="s">
        <v>255</v>
      </c>
      <c r="D69" s="4" t="s">
        <v>252</v>
      </c>
      <c r="E69" s="4" t="s">
        <v>76</v>
      </c>
      <c r="F69" s="5" t="n">
        <v>1.72</v>
      </c>
      <c r="G69" s="13" t="n">
        <v>64</v>
      </c>
      <c r="H69" s="4" t="s">
        <v>71</v>
      </c>
      <c r="I69" s="4" t="s">
        <v>256</v>
      </c>
    </row>
    <row r="70" customFormat="false" ht="21.75" hidden="false" customHeight="true" outlineLevel="0" collapsed="false">
      <c r="B70" s="7" t="s">
        <v>257</v>
      </c>
      <c r="C70" s="7" t="s">
        <v>258</v>
      </c>
      <c r="D70" s="7" t="s">
        <v>252</v>
      </c>
      <c r="E70" s="7" t="s">
        <v>76</v>
      </c>
      <c r="F70" s="8" t="n">
        <v>1.48</v>
      </c>
      <c r="G70" s="14" t="n">
        <v>12</v>
      </c>
      <c r="H70" s="7" t="s">
        <v>71</v>
      </c>
      <c r="I70" s="7" t="s">
        <v>259</v>
      </c>
    </row>
    <row r="71" customFormat="false" ht="21.75" hidden="false" customHeight="true" outlineLevel="0" collapsed="false">
      <c r="B71" s="4" t="s">
        <v>260</v>
      </c>
      <c r="C71" s="4" t="s">
        <v>261</v>
      </c>
      <c r="D71" s="4" t="s">
        <v>252</v>
      </c>
      <c r="E71" s="4" t="s">
        <v>76</v>
      </c>
      <c r="F71" s="5" t="n">
        <v>1.72</v>
      </c>
      <c r="G71" s="13" t="n">
        <v>3</v>
      </c>
      <c r="H71" s="4" t="s">
        <v>71</v>
      </c>
      <c r="I71" s="4" t="s">
        <v>262</v>
      </c>
    </row>
    <row r="72" customFormat="false" ht="21.75" hidden="false" customHeight="true" outlineLevel="0" collapsed="false">
      <c r="B72" s="7" t="s">
        <v>263</v>
      </c>
      <c r="C72" s="7" t="s">
        <v>264</v>
      </c>
      <c r="D72" s="7" t="s">
        <v>252</v>
      </c>
      <c r="E72" s="7" t="s">
        <v>76</v>
      </c>
      <c r="F72" s="8" t="n">
        <v>1.96</v>
      </c>
      <c r="G72" s="14" t="n">
        <v>20</v>
      </c>
      <c r="H72" s="7" t="s">
        <v>71</v>
      </c>
      <c r="I72" s="7" t="s">
        <v>265</v>
      </c>
    </row>
    <row r="73" customFormat="false" ht="21.75" hidden="false" customHeight="true" outlineLevel="0" collapsed="false">
      <c r="B73" s="4" t="s">
        <v>266</v>
      </c>
      <c r="C73" s="4" t="s">
        <v>267</v>
      </c>
      <c r="D73" s="4" t="s">
        <v>252</v>
      </c>
      <c r="E73" s="4" t="s">
        <v>76</v>
      </c>
      <c r="F73" s="5" t="n">
        <v>3.44</v>
      </c>
      <c r="G73" s="13" t="n">
        <v>6</v>
      </c>
      <c r="H73" s="4" t="s">
        <v>71</v>
      </c>
      <c r="I73" s="4" t="s">
        <v>268</v>
      </c>
    </row>
    <row r="74" customFormat="false" ht="21.75" hidden="false" customHeight="true" outlineLevel="0" collapsed="false">
      <c r="B74" s="7" t="s">
        <v>269</v>
      </c>
      <c r="C74" s="7" t="s">
        <v>270</v>
      </c>
      <c r="D74" s="7" t="s">
        <v>252</v>
      </c>
      <c r="E74" s="7" t="s">
        <v>76</v>
      </c>
      <c r="F74" s="8" t="n">
        <v>2.45</v>
      </c>
      <c r="G74" s="14" t="n">
        <v>8</v>
      </c>
      <c r="H74" s="7" t="s">
        <v>71</v>
      </c>
      <c r="I74" s="7" t="s">
        <v>271</v>
      </c>
    </row>
    <row r="75" customFormat="false" ht="21.75" hidden="false" customHeight="true" outlineLevel="0" collapsed="false">
      <c r="B75" s="4" t="s">
        <v>272</v>
      </c>
      <c r="C75" s="4" t="s">
        <v>273</v>
      </c>
      <c r="D75" s="4" t="s">
        <v>252</v>
      </c>
      <c r="E75" s="4" t="s">
        <v>169</v>
      </c>
      <c r="F75" s="5" t="n">
        <v>0.38</v>
      </c>
      <c r="G75" s="13" t="n">
        <v>100</v>
      </c>
      <c r="H75" s="4" t="s">
        <v>71</v>
      </c>
      <c r="I75" s="4" t="s">
        <v>274</v>
      </c>
    </row>
    <row r="76" customFormat="false" ht="21.75" hidden="false" customHeight="true" outlineLevel="0" collapsed="false">
      <c r="B76" s="7" t="s">
        <v>275</v>
      </c>
      <c r="C76" s="7" t="s">
        <v>276</v>
      </c>
      <c r="D76" s="7" t="s">
        <v>252</v>
      </c>
      <c r="E76" s="7" t="s">
        <v>76</v>
      </c>
      <c r="F76" s="8" t="n">
        <v>5.73</v>
      </c>
      <c r="G76" s="14" t="n">
        <v>372</v>
      </c>
      <c r="H76" s="7" t="s">
        <v>71</v>
      </c>
      <c r="I76" s="7" t="s">
        <v>277</v>
      </c>
    </row>
    <row r="77" customFormat="false" ht="21.75" hidden="false" customHeight="true" outlineLevel="0" collapsed="false">
      <c r="B77" s="4" t="s">
        <v>278</v>
      </c>
      <c r="C77" s="4" t="s">
        <v>279</v>
      </c>
      <c r="D77" s="4" t="s">
        <v>252</v>
      </c>
      <c r="E77" s="4" t="s">
        <v>76</v>
      </c>
      <c r="F77" s="5" t="n">
        <v>4.12</v>
      </c>
      <c r="G77" s="13" t="n">
        <v>16</v>
      </c>
      <c r="H77" s="4" t="s">
        <v>71</v>
      </c>
      <c r="I77" s="4" t="s">
        <v>280</v>
      </c>
    </row>
    <row r="78" customFormat="false" ht="21.75" hidden="false" customHeight="true" outlineLevel="0" collapsed="false">
      <c r="B78" s="7" t="s">
        <v>281</v>
      </c>
      <c r="C78" s="7" t="s">
        <v>282</v>
      </c>
      <c r="D78" s="7" t="s">
        <v>252</v>
      </c>
      <c r="E78" s="7" t="s">
        <v>202</v>
      </c>
      <c r="F78" s="8" t="n">
        <v>0.9</v>
      </c>
      <c r="G78" s="14" t="n">
        <v>18</v>
      </c>
      <c r="H78" s="7" t="s">
        <v>71</v>
      </c>
      <c r="I78" s="7" t="s">
        <v>283</v>
      </c>
    </row>
    <row r="79" customFormat="false" ht="21.75" hidden="false" customHeight="true" outlineLevel="0" collapsed="false">
      <c r="B79" s="4" t="s">
        <v>284</v>
      </c>
      <c r="C79" s="4" t="s">
        <v>285</v>
      </c>
      <c r="D79" s="4" t="s">
        <v>252</v>
      </c>
      <c r="E79" s="4" t="s">
        <v>76</v>
      </c>
      <c r="F79" s="5" t="n">
        <v>1.23</v>
      </c>
      <c r="G79" s="13" t="n">
        <v>0</v>
      </c>
      <c r="H79" s="4" t="s">
        <v>84</v>
      </c>
      <c r="I79" s="4" t="s">
        <v>286</v>
      </c>
    </row>
    <row r="80" customFormat="false" ht="21.75" hidden="false" customHeight="true" outlineLevel="0" collapsed="false">
      <c r="B80" s="7" t="s">
        <v>287</v>
      </c>
      <c r="C80" s="7" t="s">
        <v>288</v>
      </c>
      <c r="D80" s="7" t="s">
        <v>289</v>
      </c>
      <c r="E80" s="7" t="s">
        <v>76</v>
      </c>
      <c r="F80" s="8" t="n">
        <v>3.44</v>
      </c>
      <c r="G80" s="14" t="n">
        <v>1</v>
      </c>
      <c r="H80" s="7" t="s">
        <v>71</v>
      </c>
      <c r="I80" s="7" t="s">
        <v>290</v>
      </c>
    </row>
    <row r="81" customFormat="false" ht="21.75" hidden="false" customHeight="true" outlineLevel="0" collapsed="false">
      <c r="B81" s="4" t="s">
        <v>291</v>
      </c>
      <c r="C81" s="4" t="s">
        <v>292</v>
      </c>
      <c r="D81" s="4" t="s">
        <v>289</v>
      </c>
      <c r="E81" s="4" t="s">
        <v>76</v>
      </c>
      <c r="F81" s="5" t="n">
        <v>6.87</v>
      </c>
      <c r="G81" s="13" t="n">
        <v>1</v>
      </c>
      <c r="H81" s="4" t="s">
        <v>71</v>
      </c>
      <c r="I81" s="4" t="s">
        <v>290</v>
      </c>
    </row>
    <row r="82" customFormat="false" ht="21.75" hidden="false" customHeight="true" outlineLevel="0" collapsed="false">
      <c r="B82" s="7" t="s">
        <v>293</v>
      </c>
      <c r="C82" s="7" t="s">
        <v>294</v>
      </c>
      <c r="D82" s="7" t="s">
        <v>289</v>
      </c>
      <c r="E82" s="7" t="s">
        <v>76</v>
      </c>
      <c r="F82" s="8" t="n">
        <v>1.77</v>
      </c>
      <c r="G82" s="14" t="n">
        <v>0</v>
      </c>
      <c r="H82" s="7" t="s">
        <v>84</v>
      </c>
      <c r="I82" s="7" t="s">
        <v>295</v>
      </c>
    </row>
    <row r="83" customFormat="false" ht="21.75" hidden="false" customHeight="true" outlineLevel="0" collapsed="false">
      <c r="B83" s="4" t="s">
        <v>296</v>
      </c>
      <c r="C83" s="4" t="s">
        <v>297</v>
      </c>
      <c r="D83" s="4" t="s">
        <v>289</v>
      </c>
      <c r="E83" s="4" t="s">
        <v>76</v>
      </c>
      <c r="F83" s="5" t="n">
        <v>2.21</v>
      </c>
      <c r="G83" s="13" t="n">
        <v>143</v>
      </c>
      <c r="H83" s="4" t="s">
        <v>71</v>
      </c>
      <c r="I83" s="4" t="s">
        <v>298</v>
      </c>
    </row>
    <row r="84" customFormat="false" ht="21.75" hidden="false" customHeight="true" outlineLevel="0" collapsed="false">
      <c r="B84" s="7" t="s">
        <v>299</v>
      </c>
      <c r="C84" s="7" t="s">
        <v>300</v>
      </c>
      <c r="D84" s="7" t="s">
        <v>289</v>
      </c>
      <c r="E84" s="7" t="s">
        <v>76</v>
      </c>
      <c r="F84" s="8" t="n">
        <v>1.96</v>
      </c>
      <c r="G84" s="14" t="n">
        <v>1</v>
      </c>
      <c r="H84" s="7" t="s">
        <v>71</v>
      </c>
      <c r="I84" s="7" t="s">
        <v>301</v>
      </c>
    </row>
    <row r="85" customFormat="false" ht="21.75" hidden="false" customHeight="true" outlineLevel="0" collapsed="false">
      <c r="B85" s="4" t="s">
        <v>302</v>
      </c>
      <c r="C85" s="4" t="s">
        <v>303</v>
      </c>
      <c r="D85" s="4" t="s">
        <v>289</v>
      </c>
      <c r="E85" s="4" t="s">
        <v>202</v>
      </c>
      <c r="F85" s="5" t="n">
        <v>3</v>
      </c>
      <c r="G85" s="13" t="n">
        <v>134</v>
      </c>
      <c r="H85" s="4" t="s">
        <v>71</v>
      </c>
      <c r="I85" s="4" t="s">
        <v>304</v>
      </c>
    </row>
    <row r="86" customFormat="false" ht="21.75" hidden="false" customHeight="true" outlineLevel="0" collapsed="false">
      <c r="B86" s="7" t="s">
        <v>305</v>
      </c>
      <c r="C86" s="7" t="s">
        <v>306</v>
      </c>
      <c r="D86" s="7" t="s">
        <v>307</v>
      </c>
      <c r="E86" s="7" t="s">
        <v>76</v>
      </c>
      <c r="F86" s="8" t="n">
        <v>7.28</v>
      </c>
      <c r="G86" s="14" t="n">
        <v>3</v>
      </c>
      <c r="H86" s="7" t="s">
        <v>71</v>
      </c>
      <c r="I86" s="7" t="s">
        <v>308</v>
      </c>
    </row>
    <row r="87" customFormat="false" ht="21.75" hidden="false" customHeight="true" outlineLevel="0" collapsed="false">
      <c r="B87" s="4" t="s">
        <v>309</v>
      </c>
      <c r="C87" s="4" t="s">
        <v>310</v>
      </c>
      <c r="D87" s="4" t="s">
        <v>307</v>
      </c>
      <c r="E87" s="4" t="s">
        <v>76</v>
      </c>
      <c r="F87" s="5" t="n">
        <v>12.3</v>
      </c>
      <c r="G87" s="13" t="n">
        <v>118</v>
      </c>
      <c r="H87" s="4" t="s">
        <v>71</v>
      </c>
      <c r="I87" s="4" t="s">
        <v>311</v>
      </c>
    </row>
    <row r="88" customFormat="false" ht="21.75" hidden="false" customHeight="true" outlineLevel="0" collapsed="false">
      <c r="B88" s="7" t="s">
        <v>312</v>
      </c>
      <c r="C88" s="7" t="s">
        <v>313</v>
      </c>
      <c r="D88" s="7" t="s">
        <v>307</v>
      </c>
      <c r="E88" s="7" t="s">
        <v>76</v>
      </c>
      <c r="F88" s="8" t="n">
        <v>5.45</v>
      </c>
      <c r="G88" s="14" t="n">
        <v>285</v>
      </c>
      <c r="H88" s="7" t="s">
        <v>71</v>
      </c>
      <c r="I88" s="7" t="s">
        <v>311</v>
      </c>
    </row>
    <row r="89" customFormat="false" ht="21.75" hidden="false" customHeight="true" outlineLevel="0" collapsed="false">
      <c r="B89" s="4" t="s">
        <v>314</v>
      </c>
      <c r="C89" s="4" t="s">
        <v>315</v>
      </c>
      <c r="D89" s="4" t="s">
        <v>316</v>
      </c>
      <c r="E89" s="4" t="s">
        <v>202</v>
      </c>
      <c r="F89" s="5" t="n">
        <v>8.4</v>
      </c>
      <c r="G89" s="13" t="n">
        <v>2</v>
      </c>
      <c r="H89" s="4" t="s">
        <v>71</v>
      </c>
      <c r="I89" s="4" t="s">
        <v>317</v>
      </c>
    </row>
    <row r="90" customFormat="false" ht="21.75" hidden="false" customHeight="true" outlineLevel="0" collapsed="false">
      <c r="B90" s="7" t="s">
        <v>318</v>
      </c>
      <c r="C90" s="7" t="s">
        <v>319</v>
      </c>
      <c r="D90" s="7" t="s">
        <v>316</v>
      </c>
      <c r="E90" s="7" t="s">
        <v>169</v>
      </c>
      <c r="F90" s="8" t="n">
        <v>6.72</v>
      </c>
      <c r="G90" s="14" t="n">
        <v>5</v>
      </c>
      <c r="H90" s="7" t="s">
        <v>71</v>
      </c>
      <c r="I90" s="7" t="s">
        <v>320</v>
      </c>
    </row>
    <row r="91" customFormat="false" ht="21.75" hidden="false" customHeight="true" outlineLevel="0" collapsed="false">
      <c r="B91" s="4" t="s">
        <v>321</v>
      </c>
      <c r="C91" s="4" t="s">
        <v>322</v>
      </c>
      <c r="D91" s="4" t="s">
        <v>316</v>
      </c>
      <c r="E91" s="4" t="s">
        <v>202</v>
      </c>
      <c r="F91" s="5" t="n">
        <v>9.6</v>
      </c>
      <c r="G91" s="13" t="n">
        <v>1</v>
      </c>
      <c r="H91" s="4" t="s">
        <v>71</v>
      </c>
      <c r="I91" s="4" t="s">
        <v>323</v>
      </c>
    </row>
    <row r="92" customFormat="false" ht="21.75" hidden="false" customHeight="true" outlineLevel="0" collapsed="false">
      <c r="B92" s="7" t="s">
        <v>324</v>
      </c>
      <c r="C92" s="7" t="s">
        <v>325</v>
      </c>
      <c r="D92" s="7" t="s">
        <v>326</v>
      </c>
      <c r="E92" s="7" t="s">
        <v>76</v>
      </c>
      <c r="F92" s="8" t="n">
        <v>5.03</v>
      </c>
      <c r="G92" s="14" t="n">
        <v>298</v>
      </c>
      <c r="H92" s="7" t="s">
        <v>71</v>
      </c>
      <c r="I92" s="7" t="s">
        <v>327</v>
      </c>
    </row>
    <row r="93" customFormat="false" ht="21.75" hidden="false" customHeight="true" outlineLevel="0" collapsed="false">
      <c r="B93" s="4" t="s">
        <v>328</v>
      </c>
      <c r="C93" s="4" t="s">
        <v>329</v>
      </c>
      <c r="D93" s="4" t="s">
        <v>326</v>
      </c>
      <c r="E93" s="4" t="s">
        <v>76</v>
      </c>
      <c r="F93" s="5" t="n">
        <v>5.49</v>
      </c>
      <c r="G93" s="13" t="n">
        <v>283</v>
      </c>
      <c r="H93" s="4" t="s">
        <v>71</v>
      </c>
      <c r="I93" s="4" t="s">
        <v>327</v>
      </c>
    </row>
    <row r="94" customFormat="false" ht="21.75" hidden="false" customHeight="true" outlineLevel="0" collapsed="false">
      <c r="B94" s="7" t="s">
        <v>330</v>
      </c>
      <c r="C94" s="7" t="s">
        <v>331</v>
      </c>
      <c r="D94" s="7" t="s">
        <v>326</v>
      </c>
      <c r="E94" s="7" t="s">
        <v>76</v>
      </c>
      <c r="F94" s="8" t="n">
        <v>6.87</v>
      </c>
      <c r="G94" s="14" t="n">
        <v>235</v>
      </c>
      <c r="H94" s="7" t="s">
        <v>71</v>
      </c>
      <c r="I94" s="7" t="s">
        <v>327</v>
      </c>
    </row>
    <row r="95" customFormat="false" ht="21.75" hidden="false" customHeight="true" outlineLevel="0" collapsed="false">
      <c r="B95" s="4" t="s">
        <v>332</v>
      </c>
      <c r="C95" s="4" t="s">
        <v>333</v>
      </c>
      <c r="D95" s="4" t="s">
        <v>326</v>
      </c>
      <c r="E95" s="4" t="s">
        <v>76</v>
      </c>
      <c r="F95" s="5" t="n">
        <v>8.24</v>
      </c>
      <c r="G95" s="13" t="n">
        <v>188</v>
      </c>
      <c r="H95" s="4" t="s">
        <v>71</v>
      </c>
      <c r="I95" s="4" t="s">
        <v>327</v>
      </c>
    </row>
    <row r="96" customFormat="false" ht="21.75" hidden="false" customHeight="true" outlineLevel="0" collapsed="false">
      <c r="B96" s="7" t="s">
        <v>334</v>
      </c>
      <c r="C96" s="7" t="s">
        <v>335</v>
      </c>
      <c r="D96" s="7" t="s">
        <v>326</v>
      </c>
      <c r="E96" s="7" t="s">
        <v>76</v>
      </c>
      <c r="F96" s="8" t="n">
        <v>9.6</v>
      </c>
      <c r="G96" s="14" t="n">
        <v>157</v>
      </c>
      <c r="H96" s="7" t="s">
        <v>71</v>
      </c>
      <c r="I96" s="7" t="s">
        <v>327</v>
      </c>
    </row>
    <row r="97" customFormat="false" ht="21.75" hidden="false" customHeight="true" outlineLevel="0" collapsed="false">
      <c r="B97" s="4" t="s">
        <v>336</v>
      </c>
      <c r="C97" s="4" t="s">
        <v>337</v>
      </c>
      <c r="D97" s="4" t="s">
        <v>326</v>
      </c>
      <c r="E97" s="4" t="s">
        <v>76</v>
      </c>
      <c r="F97" s="5" t="n">
        <v>2.98</v>
      </c>
      <c r="G97" s="13" t="n">
        <v>514</v>
      </c>
      <c r="H97" s="4" t="s">
        <v>71</v>
      </c>
      <c r="I97" s="4" t="s">
        <v>327</v>
      </c>
    </row>
    <row r="98" customFormat="false" ht="21.75" hidden="false" customHeight="true" outlineLevel="0" collapsed="false">
      <c r="B98" s="7" t="s">
        <v>338</v>
      </c>
      <c r="C98" s="7" t="s">
        <v>339</v>
      </c>
      <c r="D98" s="7" t="s">
        <v>326</v>
      </c>
      <c r="E98" s="7" t="s">
        <v>76</v>
      </c>
      <c r="F98" s="8" t="n">
        <v>3.44</v>
      </c>
      <c r="G98" s="14" t="n">
        <v>436</v>
      </c>
      <c r="H98" s="7" t="s">
        <v>71</v>
      </c>
      <c r="I98" s="7" t="s">
        <v>327</v>
      </c>
    </row>
    <row r="99" customFormat="false" ht="21.75" hidden="false" customHeight="true" outlineLevel="0" collapsed="false">
      <c r="B99" s="4" t="s">
        <v>340</v>
      </c>
      <c r="C99" s="4" t="s">
        <v>341</v>
      </c>
      <c r="D99" s="4" t="s">
        <v>326</v>
      </c>
      <c r="E99" s="4" t="s">
        <v>76</v>
      </c>
      <c r="F99" s="5" t="n">
        <v>4.12</v>
      </c>
      <c r="G99" s="13" t="n">
        <v>377</v>
      </c>
      <c r="H99" s="4" t="s">
        <v>71</v>
      </c>
      <c r="I99" s="4" t="s">
        <v>327</v>
      </c>
    </row>
    <row r="100" customFormat="false" ht="21.75" hidden="false" customHeight="true" outlineLevel="0" collapsed="false">
      <c r="B100" s="7" t="s">
        <v>342</v>
      </c>
      <c r="C100" s="7" t="s">
        <v>343</v>
      </c>
      <c r="D100" s="7" t="s">
        <v>326</v>
      </c>
      <c r="E100" s="7" t="s">
        <v>76</v>
      </c>
      <c r="F100" s="8" t="n">
        <v>0.02</v>
      </c>
      <c r="G100" s="14" t="n">
        <v>4</v>
      </c>
      <c r="H100" s="7" t="s">
        <v>71</v>
      </c>
      <c r="I100" s="7" t="s">
        <v>188</v>
      </c>
    </row>
    <row r="101" customFormat="false" ht="21.75" hidden="false" customHeight="true" outlineLevel="0" collapsed="false">
      <c r="B101" s="4" t="s">
        <v>344</v>
      </c>
      <c r="C101" s="4" t="s">
        <v>345</v>
      </c>
      <c r="D101" s="4" t="s">
        <v>326</v>
      </c>
      <c r="E101" s="4" t="s">
        <v>76</v>
      </c>
      <c r="F101" s="5" t="n">
        <v>0.02</v>
      </c>
      <c r="G101" s="13" t="n">
        <v>4</v>
      </c>
      <c r="H101" s="4" t="s">
        <v>71</v>
      </c>
      <c r="I101" s="4" t="s">
        <v>188</v>
      </c>
    </row>
    <row r="102" customFormat="false" ht="21.75" hidden="false" customHeight="true" outlineLevel="0" collapsed="false">
      <c r="B102" s="7" t="s">
        <v>346</v>
      </c>
      <c r="C102" s="7" t="s">
        <v>347</v>
      </c>
      <c r="D102" s="7" t="s">
        <v>326</v>
      </c>
      <c r="E102" s="7" t="s">
        <v>76</v>
      </c>
      <c r="F102" s="8" t="n">
        <v>7.78</v>
      </c>
      <c r="G102" s="14" t="n">
        <v>5</v>
      </c>
      <c r="H102" s="7" t="s">
        <v>71</v>
      </c>
      <c r="I102" s="7" t="s">
        <v>348</v>
      </c>
    </row>
    <row r="103" customFormat="false" ht="21.75" hidden="false" customHeight="true" outlineLevel="0" collapsed="false">
      <c r="B103" s="4" t="s">
        <v>349</v>
      </c>
      <c r="C103" s="4" t="s">
        <v>350</v>
      </c>
      <c r="D103" s="4" t="s">
        <v>326</v>
      </c>
      <c r="E103" s="4" t="s">
        <v>76</v>
      </c>
      <c r="F103" s="5" t="n">
        <v>4.58</v>
      </c>
      <c r="G103" s="13" t="n">
        <v>13</v>
      </c>
      <c r="H103" s="4" t="s">
        <v>71</v>
      </c>
      <c r="I103" s="4" t="s">
        <v>348</v>
      </c>
    </row>
    <row r="104" customFormat="false" ht="21.75" hidden="false" customHeight="true" outlineLevel="0" collapsed="false">
      <c r="B104" s="7" t="s">
        <v>351</v>
      </c>
      <c r="C104" s="7" t="s">
        <v>352</v>
      </c>
      <c r="D104" s="7" t="s">
        <v>326</v>
      </c>
      <c r="E104" s="7" t="s">
        <v>76</v>
      </c>
      <c r="F104" s="8" t="n">
        <v>3.89</v>
      </c>
      <c r="G104" s="14" t="n">
        <v>10</v>
      </c>
      <c r="H104" s="7" t="s">
        <v>71</v>
      </c>
      <c r="I104" s="7" t="s">
        <v>348</v>
      </c>
    </row>
    <row r="105" customFormat="false" ht="21.75" hidden="false" customHeight="true" outlineLevel="0" collapsed="false">
      <c r="B105" s="4" t="s">
        <v>353</v>
      </c>
      <c r="C105" s="4" t="s">
        <v>354</v>
      </c>
      <c r="D105" s="4" t="s">
        <v>326</v>
      </c>
      <c r="E105" s="4" t="s">
        <v>76</v>
      </c>
      <c r="F105" s="5" t="n">
        <v>3.44</v>
      </c>
      <c r="G105" s="13" t="n">
        <v>25</v>
      </c>
      <c r="H105" s="4" t="s">
        <v>71</v>
      </c>
      <c r="I105" s="4" t="s">
        <v>348</v>
      </c>
    </row>
    <row r="106" customFormat="false" ht="21.75" hidden="false" customHeight="true" outlineLevel="0" collapsed="false">
      <c r="B106" s="7" t="s">
        <v>355</v>
      </c>
      <c r="C106" s="7" t="s">
        <v>356</v>
      </c>
      <c r="D106" s="7" t="s">
        <v>326</v>
      </c>
      <c r="E106" s="7" t="s">
        <v>76</v>
      </c>
      <c r="F106" s="8" t="n">
        <v>2.75</v>
      </c>
      <c r="G106" s="14" t="n">
        <v>566</v>
      </c>
      <c r="H106" s="7" t="s">
        <v>71</v>
      </c>
      <c r="I106" s="7" t="s">
        <v>357</v>
      </c>
    </row>
    <row r="107" customFormat="false" ht="21.75" hidden="false" customHeight="true" outlineLevel="0" collapsed="false">
      <c r="B107" s="4" t="s">
        <v>358</v>
      </c>
      <c r="C107" s="4" t="s">
        <v>359</v>
      </c>
      <c r="D107" s="4" t="s">
        <v>326</v>
      </c>
      <c r="E107" s="4" t="s">
        <v>76</v>
      </c>
      <c r="F107" s="5" t="n">
        <v>10.52</v>
      </c>
      <c r="G107" s="13" t="n">
        <v>141</v>
      </c>
      <c r="H107" s="4" t="s">
        <v>71</v>
      </c>
      <c r="I107" s="4" t="s">
        <v>360</v>
      </c>
    </row>
    <row r="108" customFormat="false" ht="21.75" hidden="false" customHeight="true" outlineLevel="0" collapsed="false">
      <c r="B108" s="7" t="s">
        <v>361</v>
      </c>
      <c r="C108" s="7" t="s">
        <v>362</v>
      </c>
      <c r="D108" s="7" t="s">
        <v>326</v>
      </c>
      <c r="E108" s="7" t="s">
        <v>76</v>
      </c>
      <c r="F108" s="8" t="n">
        <v>20.57</v>
      </c>
      <c r="G108" s="14" t="n">
        <v>70</v>
      </c>
      <c r="H108" s="7" t="s">
        <v>71</v>
      </c>
      <c r="I108" s="7" t="s">
        <v>363</v>
      </c>
    </row>
    <row r="109" customFormat="false" ht="21.75" hidden="false" customHeight="true" outlineLevel="0" collapsed="false">
      <c r="B109" s="4" t="s">
        <v>364</v>
      </c>
      <c r="C109" s="4" t="s">
        <v>365</v>
      </c>
      <c r="D109" s="4" t="s">
        <v>326</v>
      </c>
      <c r="E109" s="4" t="s">
        <v>76</v>
      </c>
      <c r="F109" s="5" t="n">
        <v>1.72</v>
      </c>
      <c r="G109" s="13" t="n">
        <v>80</v>
      </c>
      <c r="H109" s="4" t="s">
        <v>71</v>
      </c>
      <c r="I109" s="4" t="s">
        <v>366</v>
      </c>
    </row>
    <row r="110" customFormat="false" ht="21.75" hidden="false" customHeight="true" outlineLevel="0" collapsed="false">
      <c r="B110" s="7" t="s">
        <v>367</v>
      </c>
      <c r="C110" s="7" t="s">
        <v>368</v>
      </c>
      <c r="D110" s="7" t="s">
        <v>326</v>
      </c>
      <c r="E110" s="7" t="s">
        <v>76</v>
      </c>
      <c r="F110" s="8" t="n">
        <v>40.23</v>
      </c>
      <c r="G110" s="14" t="n">
        <v>34</v>
      </c>
      <c r="H110" s="7" t="s">
        <v>71</v>
      </c>
      <c r="I110" s="7" t="s">
        <v>369</v>
      </c>
    </row>
    <row r="111" customFormat="false" ht="21.75" hidden="false" customHeight="true" outlineLevel="0" collapsed="false">
      <c r="B111" s="4" t="s">
        <v>370</v>
      </c>
      <c r="C111" s="4" t="s">
        <v>371</v>
      </c>
      <c r="D111" s="4" t="s">
        <v>326</v>
      </c>
      <c r="E111" s="4" t="s">
        <v>76</v>
      </c>
      <c r="F111" s="5" t="n">
        <v>6.18</v>
      </c>
      <c r="G111" s="13" t="n">
        <v>246</v>
      </c>
      <c r="H111" s="4" t="s">
        <v>71</v>
      </c>
      <c r="I111" s="4" t="s">
        <v>369</v>
      </c>
    </row>
    <row r="112" customFormat="false" ht="21.75" hidden="false" customHeight="true" outlineLevel="0" collapsed="false">
      <c r="B112" s="7" t="s">
        <v>372</v>
      </c>
      <c r="C112" s="7" t="s">
        <v>373</v>
      </c>
      <c r="D112" s="7" t="s">
        <v>326</v>
      </c>
      <c r="E112" s="7" t="s">
        <v>76</v>
      </c>
      <c r="F112" s="8" t="n">
        <v>3.66</v>
      </c>
      <c r="G112" s="14" t="n">
        <v>11</v>
      </c>
      <c r="H112" s="7" t="s">
        <v>71</v>
      </c>
      <c r="I112" s="7" t="s">
        <v>374</v>
      </c>
    </row>
    <row r="113" customFormat="false" ht="21.75" hidden="false" customHeight="true" outlineLevel="0" collapsed="false">
      <c r="B113" s="4" t="s">
        <v>375</v>
      </c>
      <c r="C113" s="4" t="s">
        <v>376</v>
      </c>
      <c r="D113" s="4" t="s">
        <v>326</v>
      </c>
      <c r="E113" s="4" t="s">
        <v>76</v>
      </c>
      <c r="F113" s="5" t="n">
        <v>3.89</v>
      </c>
      <c r="G113" s="13" t="n">
        <v>378</v>
      </c>
      <c r="H113" s="4" t="s">
        <v>71</v>
      </c>
      <c r="I113" s="4" t="s">
        <v>369</v>
      </c>
    </row>
    <row r="114" customFormat="false" ht="21.75" hidden="false" customHeight="true" outlineLevel="0" collapsed="false">
      <c r="B114" s="7" t="s">
        <v>377</v>
      </c>
      <c r="C114" s="7" t="s">
        <v>378</v>
      </c>
      <c r="D114" s="7" t="s">
        <v>326</v>
      </c>
      <c r="E114" s="7" t="s">
        <v>76</v>
      </c>
      <c r="F114" s="8" t="n">
        <v>0.15</v>
      </c>
      <c r="G114" s="14" t="n">
        <v>0</v>
      </c>
      <c r="H114" s="7" t="s">
        <v>84</v>
      </c>
      <c r="I114" s="7" t="s">
        <v>379</v>
      </c>
    </row>
    <row r="115" customFormat="false" ht="21.75" hidden="false" customHeight="true" outlineLevel="0" collapsed="false">
      <c r="B115" s="4" t="s">
        <v>380</v>
      </c>
      <c r="C115" s="4" t="s">
        <v>381</v>
      </c>
      <c r="D115" s="4" t="s">
        <v>326</v>
      </c>
      <c r="E115" s="4" t="s">
        <v>76</v>
      </c>
      <c r="F115" s="5" t="n">
        <v>0.02</v>
      </c>
      <c r="G115" s="13" t="n">
        <v>4</v>
      </c>
      <c r="H115" s="4" t="s">
        <v>71</v>
      </c>
      <c r="I115" s="4" t="s">
        <v>188</v>
      </c>
    </row>
    <row r="116" customFormat="false" ht="21.75" hidden="false" customHeight="true" outlineLevel="0" collapsed="false">
      <c r="B116" s="7" t="s">
        <v>382</v>
      </c>
      <c r="C116" s="7" t="s">
        <v>383</v>
      </c>
      <c r="D116" s="7" t="s">
        <v>326</v>
      </c>
      <c r="E116" s="7" t="s">
        <v>76</v>
      </c>
      <c r="F116" s="8" t="n">
        <v>7.14</v>
      </c>
      <c r="G116" s="14" t="n">
        <v>226</v>
      </c>
      <c r="H116" s="7" t="s">
        <v>71</v>
      </c>
      <c r="I116" s="7" t="s">
        <v>384</v>
      </c>
    </row>
    <row r="117" customFormat="false" ht="21.75" hidden="false" customHeight="true" outlineLevel="0" collapsed="false">
      <c r="B117" s="4" t="s">
        <v>385</v>
      </c>
      <c r="C117" s="4" t="s">
        <v>386</v>
      </c>
      <c r="D117" s="4" t="s">
        <v>326</v>
      </c>
      <c r="E117" s="4" t="s">
        <v>76</v>
      </c>
      <c r="F117" s="5" t="n">
        <v>1.23</v>
      </c>
      <c r="G117" s="13" t="n">
        <v>1861</v>
      </c>
      <c r="H117" s="4" t="s">
        <v>71</v>
      </c>
      <c r="I117" s="4" t="s">
        <v>384</v>
      </c>
    </row>
    <row r="118" customFormat="false" ht="21.75" hidden="false" customHeight="true" outlineLevel="0" collapsed="false">
      <c r="B118" s="7" t="s">
        <v>387</v>
      </c>
      <c r="C118" s="7" t="s">
        <v>388</v>
      </c>
      <c r="D118" s="7" t="s">
        <v>389</v>
      </c>
      <c r="E118" s="7" t="s">
        <v>76</v>
      </c>
      <c r="F118" s="8" t="n">
        <v>12.81</v>
      </c>
      <c r="G118" s="14" t="n">
        <v>9</v>
      </c>
      <c r="H118" s="7" t="s">
        <v>71</v>
      </c>
      <c r="I118" s="7" t="s">
        <v>390</v>
      </c>
    </row>
    <row r="119" customFormat="false" ht="21.75" hidden="false" customHeight="true" outlineLevel="0" collapsed="false">
      <c r="B119" s="4" t="s">
        <v>391</v>
      </c>
      <c r="C119" s="4" t="s">
        <v>392</v>
      </c>
      <c r="D119" s="4" t="s">
        <v>389</v>
      </c>
      <c r="E119" s="4" t="s">
        <v>76</v>
      </c>
      <c r="F119" s="5" t="n">
        <v>13.26</v>
      </c>
      <c r="G119" s="13" t="n">
        <v>35</v>
      </c>
      <c r="H119" s="4" t="s">
        <v>71</v>
      </c>
      <c r="I119" s="4" t="s">
        <v>393</v>
      </c>
    </row>
    <row r="120" customFormat="false" ht="21.75" hidden="false" customHeight="true" outlineLevel="0" collapsed="false">
      <c r="B120" s="7" t="s">
        <v>394</v>
      </c>
      <c r="C120" s="7" t="s">
        <v>395</v>
      </c>
      <c r="D120" s="7" t="s">
        <v>389</v>
      </c>
      <c r="E120" s="7" t="s">
        <v>76</v>
      </c>
      <c r="F120" s="8" t="n">
        <v>11.44</v>
      </c>
      <c r="G120" s="14" t="n">
        <v>15</v>
      </c>
      <c r="H120" s="7" t="s">
        <v>71</v>
      </c>
      <c r="I120" s="7" t="s">
        <v>396</v>
      </c>
    </row>
    <row r="121" customFormat="false" ht="21.75" hidden="false" customHeight="true" outlineLevel="0" collapsed="false">
      <c r="B121" s="4" t="s">
        <v>397</v>
      </c>
      <c r="C121" s="4" t="s">
        <v>398</v>
      </c>
      <c r="D121" s="4" t="s">
        <v>389</v>
      </c>
      <c r="E121" s="4" t="s">
        <v>76</v>
      </c>
      <c r="F121" s="5" t="n">
        <v>2.21</v>
      </c>
      <c r="G121" s="13" t="n">
        <v>42</v>
      </c>
      <c r="H121" s="4" t="s">
        <v>71</v>
      </c>
      <c r="I121" s="4" t="s">
        <v>399</v>
      </c>
    </row>
    <row r="122" customFormat="false" ht="21.75" hidden="false" customHeight="true" outlineLevel="0" collapsed="false">
      <c r="B122" s="7" t="s">
        <v>400</v>
      </c>
      <c r="C122" s="7" t="s">
        <v>401</v>
      </c>
      <c r="D122" s="7" t="s">
        <v>389</v>
      </c>
      <c r="E122" s="7" t="s">
        <v>76</v>
      </c>
      <c r="F122" s="8" t="n">
        <v>14.63</v>
      </c>
      <c r="G122" s="14" t="n">
        <v>6</v>
      </c>
      <c r="H122" s="7" t="s">
        <v>71</v>
      </c>
      <c r="I122" s="7" t="s">
        <v>402</v>
      </c>
    </row>
    <row r="123" customFormat="false" ht="21.75" hidden="false" customHeight="true" outlineLevel="0" collapsed="false">
      <c r="B123" s="4" t="s">
        <v>403</v>
      </c>
      <c r="C123" s="4" t="s">
        <v>404</v>
      </c>
      <c r="D123" s="4" t="s">
        <v>389</v>
      </c>
      <c r="E123" s="4" t="s">
        <v>76</v>
      </c>
      <c r="F123" s="5" t="n">
        <v>11.44</v>
      </c>
      <c r="G123" s="13" t="n">
        <v>4</v>
      </c>
      <c r="H123" s="4" t="s">
        <v>71</v>
      </c>
      <c r="I123" s="4" t="s">
        <v>405</v>
      </c>
    </row>
    <row r="124" customFormat="false" ht="21.75" hidden="false" customHeight="true" outlineLevel="0" collapsed="false">
      <c r="B124" s="7" t="s">
        <v>406</v>
      </c>
      <c r="C124" s="7" t="s">
        <v>407</v>
      </c>
      <c r="D124" s="7" t="s">
        <v>389</v>
      </c>
      <c r="E124" s="7" t="s">
        <v>76</v>
      </c>
      <c r="F124" s="8" t="n">
        <v>84.54</v>
      </c>
      <c r="G124" s="14" t="n">
        <v>5</v>
      </c>
      <c r="H124" s="7" t="s">
        <v>71</v>
      </c>
      <c r="I124" s="7" t="s">
        <v>408</v>
      </c>
    </row>
    <row r="125" customFormat="false" ht="21.75" hidden="false" customHeight="true" outlineLevel="0" collapsed="false">
      <c r="B125" s="4" t="s">
        <v>409</v>
      </c>
      <c r="C125" s="4" t="s">
        <v>410</v>
      </c>
      <c r="D125" s="4" t="s">
        <v>389</v>
      </c>
      <c r="E125" s="4" t="s">
        <v>76</v>
      </c>
      <c r="F125" s="5" t="n">
        <v>2.21</v>
      </c>
      <c r="G125" s="13" t="n">
        <v>87</v>
      </c>
      <c r="H125" s="4" t="s">
        <v>71</v>
      </c>
      <c r="I125" s="4" t="s">
        <v>411</v>
      </c>
    </row>
    <row r="126" customFormat="false" ht="21.75" hidden="false" customHeight="true" outlineLevel="0" collapsed="false">
      <c r="B126" s="7" t="s">
        <v>412</v>
      </c>
      <c r="C126" s="7" t="s">
        <v>413</v>
      </c>
      <c r="D126" s="7" t="s">
        <v>389</v>
      </c>
      <c r="E126" s="7" t="s">
        <v>76</v>
      </c>
      <c r="F126" s="8" t="n">
        <v>1</v>
      </c>
      <c r="G126" s="14" t="n">
        <v>0</v>
      </c>
      <c r="H126" s="7" t="s">
        <v>84</v>
      </c>
      <c r="I126" s="7" t="s">
        <v>414</v>
      </c>
    </row>
    <row r="127" customFormat="false" ht="21.75" hidden="false" customHeight="true" outlineLevel="0" collapsed="false">
      <c r="B127" s="4" t="s">
        <v>415</v>
      </c>
      <c r="C127" s="4" t="s">
        <v>416</v>
      </c>
      <c r="D127" s="4" t="s">
        <v>389</v>
      </c>
      <c r="E127" s="4" t="s">
        <v>76</v>
      </c>
      <c r="F127" s="5" t="n">
        <v>9.6</v>
      </c>
      <c r="G127" s="13" t="n">
        <v>0</v>
      </c>
      <c r="H127" s="4" t="s">
        <v>84</v>
      </c>
      <c r="I127" s="4" t="s">
        <v>417</v>
      </c>
    </row>
    <row r="128" customFormat="false" ht="21.75" hidden="false" customHeight="true" outlineLevel="0" collapsed="false">
      <c r="B128" s="7" t="s">
        <v>418</v>
      </c>
      <c r="C128" s="7" t="s">
        <v>419</v>
      </c>
      <c r="D128" s="7" t="s">
        <v>389</v>
      </c>
      <c r="E128" s="7" t="s">
        <v>76</v>
      </c>
      <c r="F128" s="8" t="n">
        <v>7.28</v>
      </c>
      <c r="G128" s="14" t="n">
        <v>18</v>
      </c>
      <c r="H128" s="7" t="s">
        <v>71</v>
      </c>
      <c r="I128" s="7" t="s">
        <v>420</v>
      </c>
    </row>
    <row r="129" customFormat="false" ht="21.75" hidden="false" customHeight="true" outlineLevel="0" collapsed="false">
      <c r="B129" s="4" t="s">
        <v>421</v>
      </c>
      <c r="C129" s="4" t="s">
        <v>422</v>
      </c>
      <c r="D129" s="4" t="s">
        <v>389</v>
      </c>
      <c r="E129" s="4" t="s">
        <v>76</v>
      </c>
      <c r="F129" s="5" t="n">
        <v>2.75</v>
      </c>
      <c r="G129" s="13" t="n">
        <v>2</v>
      </c>
      <c r="H129" s="4" t="s">
        <v>71</v>
      </c>
      <c r="I129" s="4" t="s">
        <v>423</v>
      </c>
    </row>
    <row r="130" customFormat="false" ht="21.75" hidden="false" customHeight="true" outlineLevel="0" collapsed="false">
      <c r="B130" s="7" t="s">
        <v>424</v>
      </c>
      <c r="C130" s="7" t="s">
        <v>425</v>
      </c>
      <c r="D130" s="7" t="s">
        <v>426</v>
      </c>
      <c r="E130" s="7" t="s">
        <v>76</v>
      </c>
      <c r="F130" s="8" t="n">
        <v>11.44</v>
      </c>
      <c r="G130" s="14" t="n">
        <v>156</v>
      </c>
      <c r="H130" s="7" t="s">
        <v>71</v>
      </c>
      <c r="I130" s="7" t="s">
        <v>427</v>
      </c>
    </row>
    <row r="131" customFormat="false" ht="21.75" hidden="false" customHeight="true" outlineLevel="0" collapsed="false">
      <c r="B131" s="4" t="s">
        <v>428</v>
      </c>
      <c r="C131" s="4" t="s">
        <v>429</v>
      </c>
      <c r="D131" s="4" t="s">
        <v>426</v>
      </c>
      <c r="E131" s="4" t="s">
        <v>76</v>
      </c>
      <c r="F131" s="5" t="n">
        <v>16</v>
      </c>
      <c r="G131" s="13" t="n">
        <v>94</v>
      </c>
      <c r="H131" s="4" t="s">
        <v>71</v>
      </c>
      <c r="I131" s="4" t="s">
        <v>427</v>
      </c>
    </row>
    <row r="132" customFormat="false" ht="21.75" hidden="false" customHeight="true" outlineLevel="0" collapsed="false">
      <c r="B132" s="7" t="s">
        <v>430</v>
      </c>
      <c r="C132" s="7" t="s">
        <v>431</v>
      </c>
      <c r="D132" s="7" t="s">
        <v>426</v>
      </c>
      <c r="E132" s="7" t="s">
        <v>76</v>
      </c>
      <c r="F132" s="8" t="n">
        <v>1.72</v>
      </c>
      <c r="G132" s="14" t="n">
        <v>14</v>
      </c>
      <c r="H132" s="7" t="s">
        <v>71</v>
      </c>
      <c r="I132" s="7" t="s">
        <v>432</v>
      </c>
    </row>
    <row r="133" customFormat="false" ht="21.75" hidden="false" customHeight="true" outlineLevel="0" collapsed="false">
      <c r="B133" s="4" t="s">
        <v>433</v>
      </c>
      <c r="C133" s="4" t="s">
        <v>434</v>
      </c>
      <c r="D133" s="4" t="s">
        <v>435</v>
      </c>
      <c r="E133" s="4" t="s">
        <v>76</v>
      </c>
      <c r="F133" s="5" t="n">
        <v>3.89</v>
      </c>
      <c r="G133" s="13" t="n">
        <v>0</v>
      </c>
      <c r="H133" s="4" t="s">
        <v>84</v>
      </c>
      <c r="I133" s="4" t="s">
        <v>436</v>
      </c>
    </row>
    <row r="134" customFormat="false" ht="21.75" hidden="false" customHeight="true" outlineLevel="0" collapsed="false">
      <c r="B134" s="7" t="s">
        <v>437</v>
      </c>
      <c r="C134" s="7" t="s">
        <v>438</v>
      </c>
      <c r="D134" s="7" t="s">
        <v>435</v>
      </c>
      <c r="E134" s="7" t="s">
        <v>76</v>
      </c>
      <c r="F134" s="8" t="n">
        <v>17.61</v>
      </c>
      <c r="G134" s="14" t="n">
        <v>0</v>
      </c>
      <c r="H134" s="7" t="s">
        <v>84</v>
      </c>
      <c r="I134" s="7" t="s">
        <v>439</v>
      </c>
    </row>
    <row r="135" customFormat="false" ht="21.75" hidden="false" customHeight="true" outlineLevel="0" collapsed="false">
      <c r="B135" s="4" t="s">
        <v>440</v>
      </c>
      <c r="C135" s="4" t="s">
        <v>441</v>
      </c>
      <c r="D135" s="4" t="s">
        <v>435</v>
      </c>
      <c r="E135" s="4" t="s">
        <v>76</v>
      </c>
      <c r="F135" s="5" t="n">
        <v>17.62</v>
      </c>
      <c r="G135" s="13" t="n">
        <v>0</v>
      </c>
      <c r="H135" s="4" t="s">
        <v>84</v>
      </c>
      <c r="I135" s="4" t="s">
        <v>439</v>
      </c>
    </row>
    <row r="136" customFormat="false" ht="21.75" hidden="false" customHeight="true" outlineLevel="0" collapsed="false">
      <c r="B136" s="7" t="s">
        <v>442</v>
      </c>
      <c r="C136" s="7" t="s">
        <v>443</v>
      </c>
      <c r="D136" s="7" t="s">
        <v>435</v>
      </c>
      <c r="E136" s="7" t="s">
        <v>76</v>
      </c>
      <c r="F136" s="8" t="n">
        <v>1.99</v>
      </c>
      <c r="G136" s="14" t="n">
        <v>0</v>
      </c>
      <c r="H136" s="7" t="s">
        <v>84</v>
      </c>
      <c r="I136" s="7" t="s">
        <v>444</v>
      </c>
    </row>
    <row r="137" customFormat="false" ht="21.75" hidden="false" customHeight="true" outlineLevel="0" collapsed="false">
      <c r="B137" s="4" t="s">
        <v>445</v>
      </c>
      <c r="C137" s="4" t="s">
        <v>446</v>
      </c>
      <c r="D137" s="4" t="s">
        <v>435</v>
      </c>
      <c r="E137" s="4" t="s">
        <v>76</v>
      </c>
      <c r="F137" s="5" t="n">
        <v>1.99</v>
      </c>
      <c r="G137" s="13" t="n">
        <v>0</v>
      </c>
      <c r="H137" s="4" t="s">
        <v>84</v>
      </c>
      <c r="I137" s="4" t="s">
        <v>447</v>
      </c>
    </row>
    <row r="138" customFormat="false" ht="21.75" hidden="false" customHeight="true" outlineLevel="0" collapsed="false">
      <c r="B138" s="7" t="s">
        <v>448</v>
      </c>
      <c r="C138" s="7" t="s">
        <v>449</v>
      </c>
      <c r="D138" s="7" t="s">
        <v>435</v>
      </c>
      <c r="E138" s="7" t="s">
        <v>76</v>
      </c>
      <c r="F138" s="8" t="n">
        <v>11.44</v>
      </c>
      <c r="G138" s="14" t="n">
        <v>15</v>
      </c>
      <c r="H138" s="7" t="s">
        <v>71</v>
      </c>
      <c r="I138" s="7" t="s">
        <v>450</v>
      </c>
    </row>
    <row r="139" customFormat="false" ht="21.75" hidden="false" customHeight="true" outlineLevel="0" collapsed="false">
      <c r="B139" s="4" t="s">
        <v>451</v>
      </c>
      <c r="C139" s="4" t="s">
        <v>452</v>
      </c>
      <c r="D139" s="4" t="s">
        <v>435</v>
      </c>
      <c r="E139" s="4" t="s">
        <v>76</v>
      </c>
      <c r="F139" s="5" t="n">
        <v>21.94</v>
      </c>
      <c r="G139" s="13" t="n">
        <v>17</v>
      </c>
      <c r="H139" s="4" t="s">
        <v>71</v>
      </c>
      <c r="I139" s="4" t="s">
        <v>453</v>
      </c>
    </row>
    <row r="140" customFormat="false" ht="21.75" hidden="false" customHeight="true" outlineLevel="0" collapsed="false">
      <c r="B140" s="7" t="s">
        <v>454</v>
      </c>
      <c r="C140" s="7" t="s">
        <v>455</v>
      </c>
      <c r="D140" s="7" t="s">
        <v>435</v>
      </c>
      <c r="E140" s="7" t="s">
        <v>76</v>
      </c>
      <c r="F140" s="8" t="n">
        <v>8.24</v>
      </c>
      <c r="G140" s="14" t="n">
        <v>10</v>
      </c>
      <c r="H140" s="7" t="s">
        <v>71</v>
      </c>
      <c r="I140" s="7" t="s">
        <v>456</v>
      </c>
    </row>
    <row r="141" customFormat="false" ht="21.75" hidden="false" customHeight="true" outlineLevel="0" collapsed="false">
      <c r="B141" s="4" t="s">
        <v>457</v>
      </c>
      <c r="C141" s="4" t="s">
        <v>458</v>
      </c>
      <c r="D141" s="4" t="s">
        <v>459</v>
      </c>
      <c r="E141" s="4" t="s">
        <v>169</v>
      </c>
      <c r="F141" s="5" t="n">
        <v>0.77</v>
      </c>
      <c r="G141" s="13" t="n">
        <v>13</v>
      </c>
      <c r="H141" s="4" t="s">
        <v>71</v>
      </c>
      <c r="I141" s="4" t="s">
        <v>460</v>
      </c>
    </row>
    <row r="142" customFormat="false" ht="21.75" hidden="false" customHeight="true" outlineLevel="0" collapsed="false">
      <c r="B142" s="7" t="s">
        <v>461</v>
      </c>
      <c r="C142" s="7" t="s">
        <v>462</v>
      </c>
      <c r="D142" s="7" t="s">
        <v>459</v>
      </c>
      <c r="E142" s="7" t="s">
        <v>169</v>
      </c>
      <c r="F142" s="8" t="n">
        <v>3</v>
      </c>
      <c r="G142" s="14" t="n">
        <v>7</v>
      </c>
      <c r="H142" s="7" t="s">
        <v>71</v>
      </c>
      <c r="I142" s="7" t="s">
        <v>463</v>
      </c>
    </row>
    <row r="143" customFormat="false" ht="21.75" hidden="false" customHeight="true" outlineLevel="0" collapsed="false">
      <c r="B143" s="4" t="s">
        <v>464</v>
      </c>
      <c r="C143" s="4" t="s">
        <v>465</v>
      </c>
      <c r="D143" s="4" t="s">
        <v>459</v>
      </c>
      <c r="E143" s="4" t="s">
        <v>76</v>
      </c>
      <c r="F143" s="5" t="n">
        <v>0.5</v>
      </c>
      <c r="G143" s="13" t="n">
        <v>70</v>
      </c>
      <c r="H143" s="4" t="s">
        <v>71</v>
      </c>
      <c r="I143" s="4" t="s">
        <v>466</v>
      </c>
    </row>
    <row r="144" customFormat="false" ht="21.75" hidden="false" customHeight="true" outlineLevel="0" collapsed="false">
      <c r="B144" s="7" t="s">
        <v>467</v>
      </c>
      <c r="C144" s="7" t="s">
        <v>468</v>
      </c>
      <c r="D144" s="7" t="s">
        <v>469</v>
      </c>
      <c r="E144" s="7" t="s">
        <v>76</v>
      </c>
      <c r="F144" s="8" t="n">
        <v>2.21</v>
      </c>
      <c r="G144" s="14" t="n">
        <v>5</v>
      </c>
      <c r="H144" s="7" t="s">
        <v>71</v>
      </c>
      <c r="I144" s="7" t="s">
        <v>470</v>
      </c>
    </row>
    <row r="145" customFormat="false" ht="21.75" hidden="false" customHeight="true" outlineLevel="0" collapsed="false">
      <c r="B145" s="4" t="s">
        <v>471</v>
      </c>
      <c r="C145" s="4" t="s">
        <v>472</v>
      </c>
      <c r="D145" s="4" t="s">
        <v>469</v>
      </c>
      <c r="E145" s="4" t="s">
        <v>169</v>
      </c>
      <c r="F145" s="5" t="n">
        <v>0.89</v>
      </c>
      <c r="G145" s="13" t="n">
        <v>95</v>
      </c>
      <c r="H145" s="4" t="s">
        <v>71</v>
      </c>
      <c r="I145" s="4" t="s">
        <v>473</v>
      </c>
    </row>
    <row r="146" customFormat="false" ht="21.75" hidden="false" customHeight="true" outlineLevel="0" collapsed="false">
      <c r="B146" s="7" t="s">
        <v>474</v>
      </c>
      <c r="C146" s="7" t="s">
        <v>475</v>
      </c>
      <c r="D146" s="7" t="s">
        <v>469</v>
      </c>
      <c r="E146" s="7" t="s">
        <v>202</v>
      </c>
      <c r="F146" s="8" t="n">
        <v>0.64</v>
      </c>
      <c r="G146" s="14" t="n">
        <v>91</v>
      </c>
      <c r="H146" s="7" t="s">
        <v>71</v>
      </c>
      <c r="I146" s="7" t="s">
        <v>476</v>
      </c>
    </row>
    <row r="147" customFormat="false" ht="21.75" hidden="false" customHeight="true" outlineLevel="0" collapsed="false">
      <c r="B147" s="4" t="s">
        <v>477</v>
      </c>
      <c r="C147" s="4" t="s">
        <v>478</v>
      </c>
      <c r="D147" s="4" t="s">
        <v>469</v>
      </c>
      <c r="E147" s="4" t="s">
        <v>76</v>
      </c>
      <c r="F147" s="5" t="n">
        <v>16.23</v>
      </c>
      <c r="G147" s="13" t="n">
        <v>0</v>
      </c>
      <c r="H147" s="4" t="s">
        <v>84</v>
      </c>
      <c r="I147" s="4" t="s">
        <v>479</v>
      </c>
    </row>
    <row r="148" customFormat="false" ht="21.75" hidden="false" customHeight="true" outlineLevel="0" collapsed="false">
      <c r="B148" s="7" t="s">
        <v>480</v>
      </c>
      <c r="C148" s="7" t="s">
        <v>481</v>
      </c>
      <c r="D148" s="7" t="s">
        <v>469</v>
      </c>
      <c r="E148" s="7" t="s">
        <v>76</v>
      </c>
      <c r="F148" s="8" t="n">
        <v>6.87</v>
      </c>
      <c r="G148" s="14" t="n">
        <v>0</v>
      </c>
      <c r="H148" s="7" t="s">
        <v>84</v>
      </c>
      <c r="I148" s="7" t="s">
        <v>482</v>
      </c>
    </row>
    <row r="149" customFormat="false" ht="21.75" hidden="false" customHeight="true" outlineLevel="0" collapsed="false">
      <c r="B149" s="4" t="s">
        <v>483</v>
      </c>
      <c r="C149" s="4" t="s">
        <v>484</v>
      </c>
      <c r="D149" s="4" t="s">
        <v>485</v>
      </c>
      <c r="E149" s="4" t="s">
        <v>76</v>
      </c>
      <c r="F149" s="5" t="n">
        <v>1.91</v>
      </c>
      <c r="G149" s="13" t="n">
        <v>51</v>
      </c>
      <c r="H149" s="4" t="s">
        <v>71</v>
      </c>
      <c r="I149" s="4" t="s">
        <v>486</v>
      </c>
    </row>
    <row r="150" customFormat="false" ht="21.75" hidden="false" customHeight="true" outlineLevel="0" collapsed="false">
      <c r="B150" s="7" t="s">
        <v>487</v>
      </c>
      <c r="C150" s="7" t="s">
        <v>488</v>
      </c>
      <c r="D150" s="7" t="s">
        <v>485</v>
      </c>
      <c r="E150" s="7" t="s">
        <v>76</v>
      </c>
      <c r="F150" s="8" t="n">
        <v>7.28</v>
      </c>
      <c r="G150" s="14" t="n">
        <v>63</v>
      </c>
      <c r="H150" s="7" t="s">
        <v>71</v>
      </c>
      <c r="I150" s="7" t="s">
        <v>486</v>
      </c>
    </row>
    <row r="151" customFormat="false" ht="21.75" hidden="false" customHeight="true" outlineLevel="0" collapsed="false">
      <c r="B151" s="4" t="s">
        <v>489</v>
      </c>
      <c r="C151" s="4" t="s">
        <v>490</v>
      </c>
      <c r="D151" s="4" t="s">
        <v>485</v>
      </c>
      <c r="E151" s="4" t="s">
        <v>76</v>
      </c>
      <c r="F151" s="5" t="n">
        <v>3.16</v>
      </c>
      <c r="G151" s="13" t="n">
        <v>40</v>
      </c>
      <c r="H151" s="4" t="s">
        <v>71</v>
      </c>
      <c r="I151" s="4" t="s">
        <v>486</v>
      </c>
    </row>
    <row r="152" customFormat="false" ht="21.75" hidden="false" customHeight="true" outlineLevel="0" collapsed="false">
      <c r="B152" s="7" t="s">
        <v>491</v>
      </c>
      <c r="C152" s="7" t="s">
        <v>492</v>
      </c>
      <c r="D152" s="7" t="s">
        <v>485</v>
      </c>
      <c r="E152" s="7" t="s">
        <v>76</v>
      </c>
      <c r="F152" s="8" t="n">
        <v>5</v>
      </c>
      <c r="G152" s="14" t="n">
        <v>66</v>
      </c>
      <c r="H152" s="7" t="s">
        <v>71</v>
      </c>
      <c r="I152" s="7" t="s">
        <v>486</v>
      </c>
    </row>
    <row r="153" customFormat="false" ht="21.75" hidden="false" customHeight="true" outlineLevel="0" collapsed="false">
      <c r="B153" s="4" t="s">
        <v>493</v>
      </c>
      <c r="C153" s="4" t="s">
        <v>494</v>
      </c>
      <c r="D153" s="4" t="s">
        <v>495</v>
      </c>
      <c r="E153" s="4" t="s">
        <v>202</v>
      </c>
      <c r="F153" s="5" t="n">
        <v>4.6</v>
      </c>
      <c r="G153" s="13" t="n">
        <v>44</v>
      </c>
      <c r="H153" s="4" t="s">
        <v>71</v>
      </c>
      <c r="I153" s="4" t="s">
        <v>496</v>
      </c>
    </row>
    <row r="154" customFormat="false" ht="21.75" hidden="false" customHeight="true" outlineLevel="0" collapsed="false">
      <c r="B154" s="7" t="s">
        <v>497</v>
      </c>
      <c r="C154" s="7" t="s">
        <v>498</v>
      </c>
      <c r="D154" s="7" t="s">
        <v>499</v>
      </c>
      <c r="E154" s="7" t="s">
        <v>169</v>
      </c>
      <c r="F154" s="8" t="n">
        <v>7.2</v>
      </c>
      <c r="G154" s="14" t="n">
        <v>4</v>
      </c>
      <c r="H154" s="7" t="s">
        <v>71</v>
      </c>
      <c r="I154" s="7" t="s">
        <v>500</v>
      </c>
    </row>
    <row r="155" customFormat="false" ht="21.75" hidden="false" customHeight="true" outlineLevel="0" collapsed="false">
      <c r="B155" s="4" t="s">
        <v>501</v>
      </c>
      <c r="C155" s="4" t="s">
        <v>502</v>
      </c>
      <c r="D155" s="4" t="s">
        <v>499</v>
      </c>
      <c r="E155" s="4" t="s">
        <v>202</v>
      </c>
      <c r="F155" s="5" t="n">
        <v>14.4</v>
      </c>
      <c r="G155" s="13" t="n">
        <v>1</v>
      </c>
      <c r="H155" s="4" t="s">
        <v>71</v>
      </c>
      <c r="I155" s="4" t="s">
        <v>323</v>
      </c>
    </row>
    <row r="156" customFormat="false" ht="21.75" hidden="false" customHeight="true" outlineLevel="0" collapsed="false">
      <c r="B156" s="7" t="s">
        <v>503</v>
      </c>
      <c r="C156" s="7" t="s">
        <v>504</v>
      </c>
      <c r="D156" s="7" t="s">
        <v>505</v>
      </c>
      <c r="E156" s="7" t="s">
        <v>76</v>
      </c>
      <c r="F156" s="8" t="n">
        <v>21.44</v>
      </c>
      <c r="G156" s="14" t="n">
        <v>33</v>
      </c>
      <c r="H156" s="7" t="s">
        <v>71</v>
      </c>
      <c r="I156" s="7" t="s">
        <v>506</v>
      </c>
    </row>
    <row r="157" customFormat="false" ht="21.75" hidden="false" customHeight="true" outlineLevel="0" collapsed="false">
      <c r="B157" s="4" t="s">
        <v>507</v>
      </c>
      <c r="C157" s="4" t="s">
        <v>508</v>
      </c>
      <c r="D157" s="4" t="s">
        <v>505</v>
      </c>
      <c r="E157" s="4" t="s">
        <v>76</v>
      </c>
      <c r="F157" s="5" t="n">
        <v>7.55</v>
      </c>
      <c r="G157" s="13" t="n">
        <v>3</v>
      </c>
      <c r="H157" s="4" t="s">
        <v>71</v>
      </c>
      <c r="I157" s="4" t="s">
        <v>509</v>
      </c>
    </row>
    <row r="158" customFormat="false" ht="21.75" hidden="false" customHeight="true" outlineLevel="0" collapsed="false">
      <c r="B158" s="7" t="s">
        <v>510</v>
      </c>
      <c r="C158" s="7" t="s">
        <v>511</v>
      </c>
      <c r="D158" s="7" t="s">
        <v>505</v>
      </c>
      <c r="E158" s="7" t="s">
        <v>76</v>
      </c>
      <c r="F158" s="8" t="n">
        <v>12.3</v>
      </c>
      <c r="G158" s="14" t="n">
        <v>13</v>
      </c>
      <c r="H158" s="7" t="s">
        <v>71</v>
      </c>
      <c r="I158" s="7" t="s">
        <v>512</v>
      </c>
    </row>
    <row r="159" customFormat="false" ht="21.75" hidden="false" customHeight="true" outlineLevel="0" collapsed="false">
      <c r="B159" s="4" t="s">
        <v>513</v>
      </c>
      <c r="C159" s="4" t="s">
        <v>514</v>
      </c>
      <c r="D159" s="4" t="s">
        <v>515</v>
      </c>
      <c r="E159" s="4" t="s">
        <v>76</v>
      </c>
      <c r="F159" s="5" t="n">
        <v>1.96</v>
      </c>
      <c r="G159" s="13" t="n">
        <v>2</v>
      </c>
      <c r="H159" s="4" t="s">
        <v>71</v>
      </c>
      <c r="I159" s="4" t="s">
        <v>516</v>
      </c>
    </row>
    <row r="160" customFormat="false" ht="21.75" hidden="false" customHeight="true" outlineLevel="0" collapsed="false">
      <c r="B160" s="7" t="s">
        <v>517</v>
      </c>
      <c r="C160" s="7" t="s">
        <v>518</v>
      </c>
      <c r="D160" s="7" t="s">
        <v>515</v>
      </c>
      <c r="E160" s="7" t="s">
        <v>76</v>
      </c>
      <c r="F160" s="8" t="n">
        <v>12.76</v>
      </c>
      <c r="G160" s="14" t="n">
        <v>114</v>
      </c>
      <c r="H160" s="7" t="s">
        <v>71</v>
      </c>
      <c r="I160" s="7" t="s">
        <v>311</v>
      </c>
    </row>
    <row r="161" customFormat="false" ht="21.75" hidden="false" customHeight="true" outlineLevel="0" collapsed="false">
      <c r="B161" s="4" t="s">
        <v>519</v>
      </c>
      <c r="C161" s="4" t="s">
        <v>520</v>
      </c>
      <c r="D161" s="4" t="s">
        <v>515</v>
      </c>
      <c r="E161" s="4" t="s">
        <v>76</v>
      </c>
      <c r="F161" s="5" t="n">
        <v>5.45</v>
      </c>
      <c r="G161" s="13" t="n">
        <v>285</v>
      </c>
      <c r="H161" s="4" t="s">
        <v>71</v>
      </c>
      <c r="I161" s="4" t="s">
        <v>311</v>
      </c>
    </row>
    <row r="162" customFormat="false" ht="21.75" hidden="false" customHeight="true" outlineLevel="0" collapsed="false">
      <c r="B162" s="7" t="s">
        <v>521</v>
      </c>
      <c r="C162" s="7" t="s">
        <v>522</v>
      </c>
      <c r="D162" s="7" t="s">
        <v>515</v>
      </c>
      <c r="E162" s="7" t="s">
        <v>76</v>
      </c>
      <c r="F162" s="8" t="n">
        <v>31.95</v>
      </c>
      <c r="G162" s="14" t="n">
        <v>43</v>
      </c>
      <c r="H162" s="7" t="s">
        <v>71</v>
      </c>
      <c r="I162" s="7" t="s">
        <v>311</v>
      </c>
    </row>
    <row r="163" customFormat="false" ht="21.75" hidden="false" customHeight="true" outlineLevel="0" collapsed="false">
      <c r="B163" s="4" t="s">
        <v>523</v>
      </c>
      <c r="C163" s="4" t="s">
        <v>524</v>
      </c>
      <c r="D163" s="4" t="s">
        <v>525</v>
      </c>
      <c r="E163" s="4" t="s">
        <v>76</v>
      </c>
      <c r="F163" s="5" t="n">
        <v>6.87</v>
      </c>
      <c r="G163" s="13" t="n">
        <v>0</v>
      </c>
      <c r="H163" s="4" t="s">
        <v>84</v>
      </c>
      <c r="I163" s="4" t="s">
        <v>526</v>
      </c>
    </row>
    <row r="164" customFormat="false" ht="21.75" hidden="false" customHeight="true" outlineLevel="0" collapsed="false">
      <c r="B164" s="7" t="s">
        <v>527</v>
      </c>
      <c r="C164" s="7" t="s">
        <v>528</v>
      </c>
      <c r="D164" s="7" t="s">
        <v>525</v>
      </c>
      <c r="E164" s="7" t="s">
        <v>76</v>
      </c>
      <c r="F164" s="8" t="n">
        <v>38.06</v>
      </c>
      <c r="G164" s="14" t="n">
        <v>0</v>
      </c>
      <c r="H164" s="7" t="s">
        <v>84</v>
      </c>
      <c r="I164" s="7" t="s">
        <v>188</v>
      </c>
    </row>
    <row r="165" customFormat="false" ht="21.75" hidden="false" customHeight="true" outlineLevel="0" collapsed="false">
      <c r="B165" s="4" t="s">
        <v>529</v>
      </c>
      <c r="C165" s="4" t="s">
        <v>530</v>
      </c>
      <c r="D165" s="4" t="s">
        <v>531</v>
      </c>
      <c r="E165" s="4" t="s">
        <v>76</v>
      </c>
      <c r="F165" s="5" t="n">
        <v>3.21</v>
      </c>
      <c r="G165" s="13" t="n">
        <v>45</v>
      </c>
      <c r="H165" s="4" t="s">
        <v>71</v>
      </c>
      <c r="I165" s="4" t="s">
        <v>188</v>
      </c>
    </row>
    <row r="166" customFormat="false" ht="21.75" hidden="false" customHeight="true" outlineLevel="0" collapsed="false">
      <c r="B166" s="7" t="s">
        <v>532</v>
      </c>
      <c r="C166" s="7" t="s">
        <v>533</v>
      </c>
      <c r="D166" s="7" t="s">
        <v>534</v>
      </c>
      <c r="E166" s="7" t="s">
        <v>76</v>
      </c>
      <c r="F166" s="8" t="n">
        <v>18.24</v>
      </c>
      <c r="G166" s="14" t="n">
        <v>76</v>
      </c>
      <c r="H166" s="7" t="s">
        <v>71</v>
      </c>
      <c r="I166" s="7" t="s">
        <v>535</v>
      </c>
    </row>
    <row r="167" customFormat="false" ht="21.75" hidden="false" customHeight="true" outlineLevel="0" collapsed="false">
      <c r="B167" s="4" t="s">
        <v>536</v>
      </c>
      <c r="C167" s="4" t="s">
        <v>537</v>
      </c>
      <c r="D167" s="4" t="s">
        <v>538</v>
      </c>
      <c r="E167" s="4" t="s">
        <v>76</v>
      </c>
      <c r="F167" s="5" t="n">
        <v>21.72</v>
      </c>
      <c r="G167" s="13" t="n">
        <v>3</v>
      </c>
      <c r="H167" s="4" t="s">
        <v>71</v>
      </c>
      <c r="I167" s="4" t="s">
        <v>539</v>
      </c>
    </row>
    <row r="168" customFormat="false" ht="21.75" hidden="false" customHeight="true" outlineLevel="0" collapsed="false">
      <c r="B168" s="7" t="s">
        <v>540</v>
      </c>
      <c r="C168" s="7" t="s">
        <v>541</v>
      </c>
      <c r="D168" s="7" t="s">
        <v>542</v>
      </c>
      <c r="E168" s="7" t="s">
        <v>76</v>
      </c>
      <c r="F168" s="8" t="n">
        <v>4.58</v>
      </c>
      <c r="G168" s="14" t="n">
        <v>0</v>
      </c>
      <c r="H168" s="7" t="s">
        <v>84</v>
      </c>
      <c r="I168" s="7" t="s">
        <v>543</v>
      </c>
    </row>
    <row r="169" customFormat="false" ht="21.75" hidden="false" customHeight="true" outlineLevel="0" collapsed="false">
      <c r="B169" s="4" t="s">
        <v>544</v>
      </c>
      <c r="C169" s="4" t="s">
        <v>545</v>
      </c>
      <c r="D169" s="4" t="s">
        <v>542</v>
      </c>
      <c r="E169" s="4" t="s">
        <v>76</v>
      </c>
      <c r="F169" s="5" t="n">
        <v>47.99</v>
      </c>
      <c r="G169" s="13" t="n">
        <v>4</v>
      </c>
      <c r="H169" s="4" t="s">
        <v>71</v>
      </c>
      <c r="I169" s="4" t="s">
        <v>546</v>
      </c>
    </row>
    <row r="170" customFormat="false" ht="21.75" hidden="false" customHeight="true" outlineLevel="0" collapsed="false">
      <c r="B170" s="7" t="s">
        <v>547</v>
      </c>
      <c r="C170" s="7" t="s">
        <v>548</v>
      </c>
      <c r="D170" s="7" t="s">
        <v>542</v>
      </c>
      <c r="E170" s="7" t="s">
        <v>76</v>
      </c>
      <c r="F170" s="8" t="n">
        <v>65.36</v>
      </c>
      <c r="G170" s="14" t="n">
        <v>0</v>
      </c>
      <c r="H170" s="7" t="s">
        <v>84</v>
      </c>
      <c r="I170" s="7" t="s">
        <v>549</v>
      </c>
    </row>
    <row r="171" customFormat="false" ht="21.75" hidden="false" customHeight="true" outlineLevel="0" collapsed="false">
      <c r="B171" s="4" t="s">
        <v>550</v>
      </c>
      <c r="C171" s="4" t="s">
        <v>551</v>
      </c>
      <c r="D171" s="4" t="s">
        <v>542</v>
      </c>
      <c r="E171" s="4" t="s">
        <v>76</v>
      </c>
      <c r="F171" s="5" t="n">
        <v>34.94</v>
      </c>
      <c r="G171" s="13" t="n">
        <v>0</v>
      </c>
      <c r="H171" s="4" t="s">
        <v>84</v>
      </c>
      <c r="I171" s="4" t="s">
        <v>549</v>
      </c>
    </row>
    <row r="172" customFormat="false" ht="21.75" hidden="false" customHeight="true" outlineLevel="0" collapsed="false">
      <c r="B172" s="7" t="s">
        <v>552</v>
      </c>
      <c r="C172" s="7" t="s">
        <v>553</v>
      </c>
      <c r="D172" s="7" t="s">
        <v>542</v>
      </c>
      <c r="E172" s="7" t="s">
        <v>76</v>
      </c>
      <c r="F172" s="8" t="n">
        <v>21.89</v>
      </c>
      <c r="G172" s="14" t="n">
        <v>0</v>
      </c>
      <c r="H172" s="7" t="s">
        <v>84</v>
      </c>
      <c r="I172" s="7" t="s">
        <v>554</v>
      </c>
    </row>
    <row r="173" customFormat="false" ht="21.75" hidden="false" customHeight="true" outlineLevel="0" collapsed="false">
      <c r="B173" s="4" t="s">
        <v>555</v>
      </c>
      <c r="C173" s="4" t="s">
        <v>556</v>
      </c>
      <c r="D173" s="4" t="s">
        <v>557</v>
      </c>
      <c r="E173" s="4" t="s">
        <v>76</v>
      </c>
      <c r="F173" s="5" t="n">
        <v>2.75</v>
      </c>
      <c r="G173" s="13" t="n">
        <v>566</v>
      </c>
      <c r="H173" s="4" t="s">
        <v>71</v>
      </c>
      <c r="I173" s="4" t="s">
        <v>558</v>
      </c>
    </row>
    <row r="174" customFormat="false" ht="21.75" hidden="false" customHeight="true" outlineLevel="0" collapsed="false">
      <c r="B174" s="7" t="s">
        <v>559</v>
      </c>
      <c r="C174" s="7" t="s">
        <v>560</v>
      </c>
      <c r="D174" s="7" t="s">
        <v>557</v>
      </c>
      <c r="E174" s="7" t="s">
        <v>76</v>
      </c>
      <c r="F174" s="8" t="n">
        <v>7.32</v>
      </c>
      <c r="G174" s="14" t="n">
        <v>202</v>
      </c>
      <c r="H174" s="7" t="s">
        <v>71</v>
      </c>
      <c r="I174" s="7" t="s">
        <v>561</v>
      </c>
    </row>
    <row r="175" customFormat="false" ht="21.75" hidden="false" customHeight="true" outlineLevel="0" collapsed="false">
      <c r="B175" s="4" t="s">
        <v>562</v>
      </c>
      <c r="C175" s="4" t="s">
        <v>563</v>
      </c>
      <c r="D175" s="4" t="s">
        <v>557</v>
      </c>
      <c r="E175" s="4" t="s">
        <v>76</v>
      </c>
      <c r="F175" s="5" t="n">
        <v>10.06</v>
      </c>
      <c r="G175" s="13" t="n">
        <v>149</v>
      </c>
      <c r="H175" s="4" t="s">
        <v>71</v>
      </c>
      <c r="I175" s="4" t="s">
        <v>564</v>
      </c>
    </row>
    <row r="176" customFormat="false" ht="21.75" hidden="false" customHeight="true" outlineLevel="0" collapsed="false">
      <c r="B176" s="7" t="s">
        <v>565</v>
      </c>
      <c r="C176" s="7" t="s">
        <v>566</v>
      </c>
      <c r="D176" s="7" t="s">
        <v>557</v>
      </c>
      <c r="E176" s="7" t="s">
        <v>76</v>
      </c>
      <c r="F176" s="8" t="n">
        <v>1.48</v>
      </c>
      <c r="G176" s="14" t="n">
        <v>4</v>
      </c>
      <c r="H176" s="7" t="s">
        <v>71</v>
      </c>
      <c r="I176" s="7" t="s">
        <v>567</v>
      </c>
    </row>
    <row r="177" customFormat="false" ht="21.75" hidden="false" customHeight="true" outlineLevel="0" collapsed="false">
      <c r="B177" s="4" t="s">
        <v>568</v>
      </c>
      <c r="C177" s="4" t="s">
        <v>569</v>
      </c>
      <c r="D177" s="4" t="s">
        <v>557</v>
      </c>
      <c r="E177" s="4" t="s">
        <v>76</v>
      </c>
      <c r="F177" s="5" t="n">
        <v>4.58</v>
      </c>
      <c r="G177" s="13" t="n">
        <v>353</v>
      </c>
      <c r="H177" s="4" t="s">
        <v>71</v>
      </c>
      <c r="I177" s="4" t="s">
        <v>558</v>
      </c>
    </row>
    <row r="178" customFormat="false" ht="21.75" hidden="false" customHeight="true" outlineLevel="0" collapsed="false">
      <c r="B178" s="7" t="s">
        <v>570</v>
      </c>
      <c r="C178" s="7" t="s">
        <v>571</v>
      </c>
      <c r="D178" s="7" t="s">
        <v>572</v>
      </c>
      <c r="E178" s="7" t="s">
        <v>76</v>
      </c>
      <c r="F178" s="8" t="n">
        <v>4.62</v>
      </c>
      <c r="G178" s="14" t="n">
        <v>553</v>
      </c>
      <c r="H178" s="7" t="s">
        <v>71</v>
      </c>
      <c r="I178" s="7" t="s">
        <v>573</v>
      </c>
    </row>
    <row r="179" customFormat="false" ht="21.75" hidden="false" customHeight="true" outlineLevel="0" collapsed="false">
      <c r="B179" s="4" t="s">
        <v>574</v>
      </c>
      <c r="C179" s="4" t="s">
        <v>575</v>
      </c>
      <c r="D179" s="4" t="s">
        <v>572</v>
      </c>
      <c r="E179" s="4" t="s">
        <v>76</v>
      </c>
      <c r="F179" s="5" t="n">
        <v>0.75</v>
      </c>
      <c r="G179" s="13" t="n">
        <v>2</v>
      </c>
      <c r="H179" s="4" t="s">
        <v>71</v>
      </c>
      <c r="I179" s="4" t="s">
        <v>576</v>
      </c>
    </row>
    <row r="180" customFormat="false" ht="21.75" hidden="false" customHeight="true" outlineLevel="0" collapsed="false">
      <c r="B180" s="7" t="s">
        <v>577</v>
      </c>
      <c r="C180" s="7" t="s">
        <v>578</v>
      </c>
      <c r="D180" s="7" t="s">
        <v>572</v>
      </c>
      <c r="E180" s="7" t="s">
        <v>76</v>
      </c>
      <c r="F180" s="8" t="n">
        <v>0.75</v>
      </c>
      <c r="G180" s="14" t="n">
        <v>8</v>
      </c>
      <c r="H180" s="7" t="s">
        <v>71</v>
      </c>
      <c r="I180" s="7" t="s">
        <v>579</v>
      </c>
    </row>
    <row r="181" customFormat="false" ht="21.75" hidden="false" customHeight="true" outlineLevel="0" collapsed="false">
      <c r="B181" s="4" t="s">
        <v>580</v>
      </c>
      <c r="C181" s="4" t="s">
        <v>581</v>
      </c>
      <c r="D181" s="4" t="s">
        <v>582</v>
      </c>
      <c r="E181" s="4" t="s">
        <v>76</v>
      </c>
      <c r="F181" s="5" t="n">
        <v>0.99</v>
      </c>
      <c r="G181" s="13" t="n">
        <v>4</v>
      </c>
      <c r="H181" s="4" t="s">
        <v>71</v>
      </c>
      <c r="I181" s="4" t="s">
        <v>583</v>
      </c>
    </row>
    <row r="182" customFormat="false" ht="21.75" hidden="false" customHeight="true" outlineLevel="0" collapsed="false">
      <c r="B182" s="7" t="s">
        <v>584</v>
      </c>
      <c r="C182" s="7" t="s">
        <v>585</v>
      </c>
      <c r="D182" s="7" t="s">
        <v>582</v>
      </c>
      <c r="E182" s="7" t="s">
        <v>202</v>
      </c>
      <c r="F182" s="8" t="n">
        <v>3.1</v>
      </c>
      <c r="G182" s="14" t="n">
        <v>46</v>
      </c>
      <c r="H182" s="7" t="s">
        <v>71</v>
      </c>
      <c r="I182" s="7" t="s">
        <v>586</v>
      </c>
    </row>
    <row r="183" customFormat="false" ht="21.75" hidden="false" customHeight="true" outlineLevel="0" collapsed="false">
      <c r="B183" s="4" t="s">
        <v>587</v>
      </c>
      <c r="C183" s="4" t="s">
        <v>588</v>
      </c>
      <c r="D183" s="4" t="s">
        <v>582</v>
      </c>
      <c r="E183" s="4" t="s">
        <v>76</v>
      </c>
      <c r="F183" s="5" t="n">
        <v>2.45</v>
      </c>
      <c r="G183" s="13" t="n">
        <v>0</v>
      </c>
      <c r="H183" s="4" t="s">
        <v>84</v>
      </c>
      <c r="I183" s="4" t="s">
        <v>589</v>
      </c>
    </row>
    <row r="184" customFormat="false" ht="21.75" hidden="false" customHeight="true" outlineLevel="0" collapsed="false">
      <c r="B184" s="7" t="s">
        <v>590</v>
      </c>
      <c r="C184" s="7" t="s">
        <v>591</v>
      </c>
      <c r="D184" s="7" t="s">
        <v>582</v>
      </c>
      <c r="E184" s="7" t="s">
        <v>76</v>
      </c>
      <c r="F184" s="8" t="n">
        <v>0.75</v>
      </c>
      <c r="G184" s="14" t="n">
        <v>5</v>
      </c>
      <c r="H184" s="7" t="s">
        <v>71</v>
      </c>
      <c r="I184" s="7" t="s">
        <v>592</v>
      </c>
    </row>
    <row r="185" customFormat="false" ht="21.75" hidden="false" customHeight="true" outlineLevel="0" collapsed="false">
      <c r="B185" s="4" t="s">
        <v>593</v>
      </c>
      <c r="C185" s="4" t="s">
        <v>594</v>
      </c>
      <c r="D185" s="4" t="s">
        <v>595</v>
      </c>
      <c r="E185" s="4" t="s">
        <v>76</v>
      </c>
      <c r="F185" s="5" t="n">
        <v>0.75</v>
      </c>
      <c r="G185" s="13" t="n">
        <v>2</v>
      </c>
      <c r="H185" s="4" t="s">
        <v>71</v>
      </c>
      <c r="I185" s="4" t="s">
        <v>596</v>
      </c>
    </row>
    <row r="186" customFormat="false" ht="21.75" hidden="false" customHeight="true" outlineLevel="0" collapsed="false">
      <c r="B186" s="7" t="s">
        <v>597</v>
      </c>
      <c r="C186" s="7" t="s">
        <v>598</v>
      </c>
      <c r="D186" s="7" t="s">
        <v>595</v>
      </c>
      <c r="E186" s="7" t="s">
        <v>76</v>
      </c>
      <c r="F186" s="8" t="n">
        <v>0.75</v>
      </c>
      <c r="G186" s="14" t="n">
        <v>6</v>
      </c>
      <c r="H186" s="7" t="s">
        <v>71</v>
      </c>
      <c r="I186" s="7" t="s">
        <v>599</v>
      </c>
    </row>
    <row r="187" customFormat="false" ht="21.75" hidden="false" customHeight="true" outlineLevel="0" collapsed="false">
      <c r="B187" s="4" t="s">
        <v>600</v>
      </c>
      <c r="C187" s="4" t="s">
        <v>601</v>
      </c>
      <c r="D187" s="4" t="s">
        <v>602</v>
      </c>
      <c r="E187" s="4" t="s">
        <v>76</v>
      </c>
      <c r="F187" s="5" t="n">
        <v>0.75</v>
      </c>
      <c r="G187" s="13" t="n">
        <v>3</v>
      </c>
      <c r="H187" s="4" t="s">
        <v>71</v>
      </c>
      <c r="I187" s="4" t="s">
        <v>603</v>
      </c>
    </row>
    <row r="188" customFormat="false" ht="21.75" hidden="false" customHeight="true" outlineLevel="0" collapsed="false">
      <c r="B188" s="7" t="s">
        <v>604</v>
      </c>
      <c r="C188" s="7" t="s">
        <v>605</v>
      </c>
      <c r="D188" s="7" t="s">
        <v>602</v>
      </c>
      <c r="E188" s="7" t="s">
        <v>169</v>
      </c>
      <c r="F188" s="8" t="n">
        <v>0.99</v>
      </c>
      <c r="G188" s="14" t="n">
        <v>65</v>
      </c>
      <c r="H188" s="7" t="s">
        <v>71</v>
      </c>
      <c r="I188" s="7" t="s">
        <v>606</v>
      </c>
    </row>
    <row r="189" customFormat="false" ht="21.75" hidden="false" customHeight="true" outlineLevel="0" collapsed="false">
      <c r="B189" s="4" t="s">
        <v>607</v>
      </c>
      <c r="C189" s="4" t="s">
        <v>608</v>
      </c>
      <c r="D189" s="4" t="s">
        <v>609</v>
      </c>
      <c r="E189" s="4" t="s">
        <v>76</v>
      </c>
      <c r="F189" s="5" t="n">
        <v>3.21</v>
      </c>
      <c r="G189" s="13" t="n">
        <v>30</v>
      </c>
      <c r="H189" s="4" t="s">
        <v>71</v>
      </c>
      <c r="I189" s="4" t="s">
        <v>610</v>
      </c>
    </row>
    <row r="190" customFormat="false" ht="21.75" hidden="false" customHeight="true" outlineLevel="0" collapsed="false">
      <c r="B190" s="7" t="s">
        <v>611</v>
      </c>
      <c r="C190" s="7" t="s">
        <v>612</v>
      </c>
      <c r="D190" s="7" t="s">
        <v>609</v>
      </c>
      <c r="E190" s="7" t="s">
        <v>76</v>
      </c>
      <c r="F190" s="8" t="n">
        <v>6.87</v>
      </c>
      <c r="G190" s="14" t="n">
        <v>4</v>
      </c>
      <c r="H190" s="7" t="s">
        <v>71</v>
      </c>
      <c r="I190" s="7" t="s">
        <v>610</v>
      </c>
    </row>
    <row r="191" customFormat="false" ht="21.75" hidden="false" customHeight="true" outlineLevel="0" collapsed="false">
      <c r="B191" s="4" t="s">
        <v>613</v>
      </c>
      <c r="C191" s="4" t="s">
        <v>614</v>
      </c>
      <c r="D191" s="4" t="s">
        <v>609</v>
      </c>
      <c r="E191" s="4" t="s">
        <v>76</v>
      </c>
      <c r="F191" s="5" t="n">
        <v>10.06</v>
      </c>
      <c r="G191" s="13" t="n">
        <v>1</v>
      </c>
      <c r="H191" s="4" t="s">
        <v>71</v>
      </c>
      <c r="I191" s="4" t="s">
        <v>610</v>
      </c>
    </row>
    <row r="192" customFormat="false" ht="21.75" hidden="false" customHeight="true" outlineLevel="0" collapsed="false">
      <c r="B192" s="7" t="s">
        <v>615</v>
      </c>
      <c r="C192" s="7" t="s">
        <v>616</v>
      </c>
      <c r="D192" s="7" t="s">
        <v>602</v>
      </c>
      <c r="E192" s="7" t="s">
        <v>76</v>
      </c>
      <c r="F192" s="8" t="n">
        <v>0.75</v>
      </c>
      <c r="G192" s="14" t="n">
        <v>6</v>
      </c>
      <c r="H192" s="7" t="s">
        <v>71</v>
      </c>
      <c r="I192" s="7" t="s">
        <v>592</v>
      </c>
    </row>
    <row r="193" customFormat="false" ht="21.75" hidden="false" customHeight="true" outlineLevel="0" collapsed="false">
      <c r="B193" s="4" t="s">
        <v>617</v>
      </c>
      <c r="C193" s="4" t="s">
        <v>618</v>
      </c>
      <c r="D193" s="4" t="s">
        <v>602</v>
      </c>
      <c r="E193" s="4" t="s">
        <v>76</v>
      </c>
      <c r="F193" s="5" t="n">
        <v>0.75</v>
      </c>
      <c r="G193" s="13" t="n">
        <v>2</v>
      </c>
      <c r="H193" s="4" t="s">
        <v>71</v>
      </c>
      <c r="I193" s="4" t="s">
        <v>619</v>
      </c>
    </row>
    <row r="194" customFormat="false" ht="21.75" hidden="false" customHeight="true" outlineLevel="0" collapsed="false">
      <c r="B194" s="7" t="s">
        <v>620</v>
      </c>
      <c r="C194" s="7" t="s">
        <v>621</v>
      </c>
      <c r="D194" s="7" t="s">
        <v>602</v>
      </c>
      <c r="E194" s="7" t="s">
        <v>76</v>
      </c>
      <c r="F194" s="8" t="n">
        <v>1.23</v>
      </c>
      <c r="G194" s="14" t="n">
        <v>2</v>
      </c>
      <c r="H194" s="7" t="s">
        <v>71</v>
      </c>
      <c r="I194" s="7" t="s">
        <v>622</v>
      </c>
    </row>
    <row r="195" customFormat="false" ht="21.75" hidden="false" customHeight="true" outlineLevel="0" collapsed="false">
      <c r="B195" s="4" t="s">
        <v>623</v>
      </c>
      <c r="C195" s="4" t="s">
        <v>624</v>
      </c>
      <c r="D195" s="4" t="s">
        <v>602</v>
      </c>
      <c r="E195" s="4" t="s">
        <v>76</v>
      </c>
      <c r="F195" s="5" t="n">
        <v>0.75</v>
      </c>
      <c r="G195" s="13" t="n">
        <v>10</v>
      </c>
      <c r="H195" s="4" t="s">
        <v>71</v>
      </c>
      <c r="I195" s="4" t="s">
        <v>188</v>
      </c>
    </row>
    <row r="196" customFormat="false" ht="21.75" hidden="false" customHeight="true" outlineLevel="0" collapsed="false">
      <c r="B196" s="7" t="s">
        <v>625</v>
      </c>
      <c r="C196" s="7" t="s">
        <v>626</v>
      </c>
      <c r="D196" s="7" t="s">
        <v>602</v>
      </c>
      <c r="E196" s="7" t="s">
        <v>76</v>
      </c>
      <c r="F196" s="8" t="n">
        <v>0.75</v>
      </c>
      <c r="G196" s="14" t="n">
        <v>2</v>
      </c>
      <c r="H196" s="7" t="s">
        <v>71</v>
      </c>
      <c r="I196" s="7" t="s">
        <v>627</v>
      </c>
    </row>
    <row r="197" customFormat="false" ht="21.75" hidden="false" customHeight="true" outlineLevel="0" collapsed="false">
      <c r="B197" s="4" t="s">
        <v>628</v>
      </c>
      <c r="C197" s="4" t="s">
        <v>629</v>
      </c>
      <c r="D197" s="4" t="s">
        <v>602</v>
      </c>
      <c r="E197" s="4" t="s">
        <v>76</v>
      </c>
      <c r="F197" s="5" t="n">
        <v>0.75</v>
      </c>
      <c r="G197" s="13" t="n">
        <v>1</v>
      </c>
      <c r="H197" s="4" t="s">
        <v>71</v>
      </c>
      <c r="I197" s="4" t="s">
        <v>630</v>
      </c>
    </row>
    <row r="198" customFormat="false" ht="21.75" hidden="false" customHeight="true" outlineLevel="0" collapsed="false">
      <c r="B198" s="7" t="s">
        <v>631</v>
      </c>
      <c r="C198" s="7" t="s">
        <v>632</v>
      </c>
      <c r="D198" s="7" t="s">
        <v>602</v>
      </c>
      <c r="E198" s="7" t="s">
        <v>76</v>
      </c>
      <c r="F198" s="8" t="n">
        <v>0.75</v>
      </c>
      <c r="G198" s="14" t="n">
        <v>9</v>
      </c>
      <c r="H198" s="7" t="s">
        <v>71</v>
      </c>
      <c r="I198" s="7" t="s">
        <v>633</v>
      </c>
    </row>
    <row r="199" customFormat="false" ht="21.75" hidden="false" customHeight="true" outlineLevel="0" collapsed="false">
      <c r="B199" s="4" t="s">
        <v>634</v>
      </c>
      <c r="C199" s="4" t="s">
        <v>635</v>
      </c>
      <c r="D199" s="4" t="s">
        <v>602</v>
      </c>
      <c r="E199" s="4" t="s">
        <v>76</v>
      </c>
      <c r="F199" s="5" t="n">
        <v>0.75</v>
      </c>
      <c r="G199" s="13" t="n">
        <v>13</v>
      </c>
      <c r="H199" s="4" t="s">
        <v>71</v>
      </c>
      <c r="I199" s="4" t="s">
        <v>636</v>
      </c>
    </row>
    <row r="200" customFormat="false" ht="21.75" hidden="false" customHeight="true" outlineLevel="0" collapsed="false">
      <c r="B200" s="7" t="s">
        <v>637</v>
      </c>
      <c r="C200" s="7" t="s">
        <v>638</v>
      </c>
      <c r="D200" s="7" t="s">
        <v>639</v>
      </c>
      <c r="E200" s="7" t="s">
        <v>76</v>
      </c>
      <c r="F200" s="8" t="n">
        <v>1.96</v>
      </c>
      <c r="G200" s="14" t="n">
        <v>2</v>
      </c>
      <c r="H200" s="7" t="s">
        <v>71</v>
      </c>
      <c r="I200" s="7" t="s">
        <v>640</v>
      </c>
    </row>
    <row r="201" customFormat="false" ht="21.75" hidden="false" customHeight="true" outlineLevel="0" collapsed="false">
      <c r="B201" s="4" t="s">
        <v>641</v>
      </c>
      <c r="C201" s="4" t="s">
        <v>642</v>
      </c>
      <c r="D201" s="4" t="s">
        <v>643</v>
      </c>
      <c r="E201" s="4" t="s">
        <v>76</v>
      </c>
      <c r="F201" s="5" t="n">
        <v>1.72</v>
      </c>
      <c r="G201" s="13" t="n">
        <v>34</v>
      </c>
      <c r="H201" s="4" t="s">
        <v>71</v>
      </c>
      <c r="I201" s="4" t="s">
        <v>644</v>
      </c>
    </row>
    <row r="202" customFormat="false" ht="21.75" hidden="false" customHeight="true" outlineLevel="0" collapsed="false">
      <c r="B202" s="7" t="s">
        <v>645</v>
      </c>
      <c r="C202" s="7" t="s">
        <v>646</v>
      </c>
      <c r="D202" s="7" t="s">
        <v>643</v>
      </c>
      <c r="E202" s="7" t="s">
        <v>76</v>
      </c>
      <c r="F202" s="8" t="n">
        <v>1.23</v>
      </c>
      <c r="G202" s="14" t="n">
        <v>188</v>
      </c>
      <c r="H202" s="7" t="s">
        <v>71</v>
      </c>
      <c r="I202" s="7" t="s">
        <v>647</v>
      </c>
    </row>
    <row r="203" customFormat="false" ht="21.75" hidden="false" customHeight="true" outlineLevel="0" collapsed="false">
      <c r="B203" s="4" t="s">
        <v>648</v>
      </c>
      <c r="C203" s="4" t="s">
        <v>649</v>
      </c>
      <c r="D203" s="4" t="s">
        <v>643</v>
      </c>
      <c r="E203" s="4" t="s">
        <v>76</v>
      </c>
      <c r="F203" s="5" t="n">
        <v>2.23</v>
      </c>
      <c r="G203" s="13" t="n">
        <v>0</v>
      </c>
      <c r="H203" s="4" t="s">
        <v>84</v>
      </c>
      <c r="I203" s="4" t="s">
        <v>650</v>
      </c>
    </row>
    <row r="204" customFormat="false" ht="21.75" hidden="false" customHeight="true" outlineLevel="0" collapsed="false">
      <c r="B204" s="7" t="s">
        <v>651</v>
      </c>
      <c r="C204" s="7" t="s">
        <v>652</v>
      </c>
      <c r="D204" s="7" t="s">
        <v>643</v>
      </c>
      <c r="E204" s="7" t="s">
        <v>76</v>
      </c>
      <c r="F204" s="8" t="n">
        <v>1.96</v>
      </c>
      <c r="G204" s="14" t="n">
        <v>0</v>
      </c>
      <c r="H204" s="7" t="s">
        <v>84</v>
      </c>
      <c r="I204" s="7" t="s">
        <v>653</v>
      </c>
    </row>
    <row r="205" customFormat="false" ht="21.75" hidden="false" customHeight="true" outlineLevel="0" collapsed="false">
      <c r="B205" s="4" t="s">
        <v>654</v>
      </c>
      <c r="C205" s="4" t="s">
        <v>655</v>
      </c>
      <c r="D205" s="4" t="s">
        <v>643</v>
      </c>
      <c r="E205" s="4" t="s">
        <v>76</v>
      </c>
      <c r="F205" s="5" t="n">
        <v>1.23</v>
      </c>
      <c r="G205" s="13" t="n">
        <v>0</v>
      </c>
      <c r="H205" s="4" t="s">
        <v>84</v>
      </c>
      <c r="I205" s="4" t="s">
        <v>656</v>
      </c>
    </row>
    <row r="206" customFormat="false" ht="21.75" hidden="false" customHeight="true" outlineLevel="0" collapsed="false">
      <c r="B206" s="7" t="s">
        <v>657</v>
      </c>
      <c r="C206" s="7" t="s">
        <v>658</v>
      </c>
      <c r="D206" s="7" t="s">
        <v>643</v>
      </c>
      <c r="E206" s="7" t="s">
        <v>76</v>
      </c>
      <c r="F206" s="8" t="n">
        <v>1.72</v>
      </c>
      <c r="G206" s="14" t="n">
        <v>175</v>
      </c>
      <c r="H206" s="7" t="s">
        <v>71</v>
      </c>
      <c r="I206" s="7" t="s">
        <v>659</v>
      </c>
    </row>
    <row r="207" customFormat="false" ht="21.75" hidden="false" customHeight="true" outlineLevel="0" collapsed="false">
      <c r="B207" s="4" t="s">
        <v>660</v>
      </c>
      <c r="C207" s="4" t="s">
        <v>661</v>
      </c>
      <c r="D207" s="4" t="s">
        <v>643</v>
      </c>
      <c r="E207" s="4" t="s">
        <v>76</v>
      </c>
      <c r="F207" s="5" t="n">
        <v>1.28</v>
      </c>
      <c r="G207" s="13" t="n">
        <v>0</v>
      </c>
      <c r="H207" s="4" t="s">
        <v>84</v>
      </c>
      <c r="I207" s="4" t="s">
        <v>662</v>
      </c>
    </row>
    <row r="208" customFormat="false" ht="21.75" hidden="false" customHeight="true" outlineLevel="0" collapsed="false">
      <c r="B208" s="7" t="s">
        <v>663</v>
      </c>
      <c r="C208" s="7" t="s">
        <v>664</v>
      </c>
      <c r="D208" s="7" t="s">
        <v>643</v>
      </c>
      <c r="E208" s="7" t="s">
        <v>76</v>
      </c>
      <c r="F208" s="8" t="n">
        <v>1.23</v>
      </c>
      <c r="G208" s="14" t="n">
        <v>0</v>
      </c>
      <c r="H208" s="7" t="s">
        <v>84</v>
      </c>
      <c r="I208" s="7" t="s">
        <v>665</v>
      </c>
    </row>
    <row r="209" customFormat="false" ht="21.75" hidden="false" customHeight="true" outlineLevel="0" collapsed="false">
      <c r="B209" s="4" t="s">
        <v>666</v>
      </c>
      <c r="C209" s="4" t="s">
        <v>667</v>
      </c>
      <c r="D209" s="4" t="s">
        <v>643</v>
      </c>
      <c r="E209" s="4" t="s">
        <v>76</v>
      </c>
      <c r="F209" s="5" t="n">
        <v>1.72</v>
      </c>
      <c r="G209" s="13" t="n">
        <v>0</v>
      </c>
      <c r="H209" s="4" t="s">
        <v>84</v>
      </c>
      <c r="I209" s="4" t="s">
        <v>668</v>
      </c>
    </row>
    <row r="210" customFormat="false" ht="21.75" hidden="false" customHeight="true" outlineLevel="0" collapsed="false">
      <c r="B210" s="7" t="s">
        <v>669</v>
      </c>
      <c r="C210" s="7" t="s">
        <v>670</v>
      </c>
      <c r="D210" s="7" t="s">
        <v>643</v>
      </c>
      <c r="E210" s="7" t="s">
        <v>76</v>
      </c>
      <c r="F210" s="8" t="n">
        <v>1.48</v>
      </c>
      <c r="G210" s="14" t="n">
        <v>0</v>
      </c>
      <c r="H210" s="7" t="s">
        <v>84</v>
      </c>
      <c r="I210" s="7" t="s">
        <v>671</v>
      </c>
    </row>
    <row r="211" customFormat="false" ht="21.75" hidden="false" customHeight="true" outlineLevel="0" collapsed="false">
      <c r="B211" s="4" t="s">
        <v>672</v>
      </c>
      <c r="C211" s="4" t="s">
        <v>673</v>
      </c>
      <c r="D211" s="4" t="s">
        <v>643</v>
      </c>
      <c r="E211" s="4" t="s">
        <v>76</v>
      </c>
      <c r="F211" s="5" t="n">
        <v>1.57</v>
      </c>
      <c r="G211" s="13" t="n">
        <v>0</v>
      </c>
      <c r="H211" s="4" t="s">
        <v>84</v>
      </c>
      <c r="I211" s="4" t="s">
        <v>674</v>
      </c>
    </row>
    <row r="212" customFormat="false" ht="21.75" hidden="false" customHeight="true" outlineLevel="0" collapsed="false">
      <c r="B212" s="7" t="s">
        <v>675</v>
      </c>
      <c r="C212" s="7" t="s">
        <v>676</v>
      </c>
      <c r="D212" s="7" t="s">
        <v>643</v>
      </c>
      <c r="E212" s="7" t="s">
        <v>76</v>
      </c>
      <c r="F212" s="8" t="n">
        <v>2.21</v>
      </c>
      <c r="G212" s="14" t="n">
        <v>0</v>
      </c>
      <c r="H212" s="7" t="s">
        <v>84</v>
      </c>
      <c r="I212" s="7" t="s">
        <v>677</v>
      </c>
    </row>
    <row r="213" customFormat="false" ht="21.75" hidden="false" customHeight="true" outlineLevel="0" collapsed="false">
      <c r="B213" s="4" t="s">
        <v>678</v>
      </c>
      <c r="C213" s="4" t="s">
        <v>679</v>
      </c>
      <c r="D213" s="4" t="s">
        <v>643</v>
      </c>
      <c r="E213" s="4" t="s">
        <v>76</v>
      </c>
      <c r="F213" s="5" t="n">
        <v>2.45</v>
      </c>
      <c r="G213" s="13" t="n">
        <v>0</v>
      </c>
      <c r="H213" s="4" t="s">
        <v>84</v>
      </c>
      <c r="I213" s="4" t="s">
        <v>680</v>
      </c>
    </row>
    <row r="214" customFormat="false" ht="21.75" hidden="false" customHeight="true" outlineLevel="0" collapsed="false">
      <c r="B214" s="7" t="s">
        <v>681</v>
      </c>
      <c r="C214" s="7" t="s">
        <v>682</v>
      </c>
      <c r="D214" s="7" t="s">
        <v>643</v>
      </c>
      <c r="E214" s="7" t="s">
        <v>76</v>
      </c>
      <c r="F214" s="8" t="n">
        <v>1.72</v>
      </c>
      <c r="G214" s="14" t="n">
        <v>20</v>
      </c>
      <c r="H214" s="7" t="s">
        <v>71</v>
      </c>
      <c r="I214" s="7" t="s">
        <v>668</v>
      </c>
    </row>
    <row r="215" customFormat="false" ht="21.75" hidden="false" customHeight="true" outlineLevel="0" collapsed="false">
      <c r="B215" s="4" t="s">
        <v>683</v>
      </c>
      <c r="C215" s="4" t="s">
        <v>684</v>
      </c>
      <c r="D215" s="4" t="s">
        <v>643</v>
      </c>
      <c r="E215" s="4" t="s">
        <v>76</v>
      </c>
      <c r="F215" s="5" t="n">
        <v>1.81</v>
      </c>
      <c r="G215" s="13" t="n">
        <v>0</v>
      </c>
      <c r="H215" s="4" t="s">
        <v>84</v>
      </c>
      <c r="I215" s="4" t="s">
        <v>665</v>
      </c>
    </row>
    <row r="216" customFormat="false" ht="21.75" hidden="false" customHeight="true" outlineLevel="0" collapsed="false">
      <c r="B216" s="7" t="s">
        <v>685</v>
      </c>
      <c r="C216" s="7" t="s">
        <v>686</v>
      </c>
      <c r="D216" s="7" t="s">
        <v>643</v>
      </c>
      <c r="E216" s="7" t="s">
        <v>169</v>
      </c>
      <c r="F216" s="8" t="n">
        <v>1</v>
      </c>
      <c r="G216" s="14" t="n">
        <v>31</v>
      </c>
      <c r="H216" s="7" t="s">
        <v>71</v>
      </c>
      <c r="I216" s="7" t="s">
        <v>687</v>
      </c>
    </row>
    <row r="217" customFormat="false" ht="21.75" hidden="false" customHeight="true" outlineLevel="0" collapsed="false">
      <c r="B217" s="4" t="s">
        <v>688</v>
      </c>
      <c r="C217" s="4" t="s">
        <v>689</v>
      </c>
      <c r="D217" s="4" t="s">
        <v>643</v>
      </c>
      <c r="E217" s="4" t="s">
        <v>76</v>
      </c>
      <c r="F217" s="5" t="n">
        <v>1.23</v>
      </c>
      <c r="G217" s="13" t="n">
        <v>0</v>
      </c>
      <c r="H217" s="4" t="s">
        <v>84</v>
      </c>
      <c r="I217" s="4" t="s">
        <v>690</v>
      </c>
    </row>
    <row r="218" customFormat="false" ht="21.75" hidden="false" customHeight="true" outlineLevel="0" collapsed="false">
      <c r="B218" s="7" t="s">
        <v>691</v>
      </c>
      <c r="C218" s="7" t="s">
        <v>692</v>
      </c>
      <c r="D218" s="7" t="s">
        <v>643</v>
      </c>
      <c r="E218" s="7" t="s">
        <v>76</v>
      </c>
      <c r="F218" s="8" t="n">
        <v>1.72</v>
      </c>
      <c r="G218" s="14" t="n">
        <v>135</v>
      </c>
      <c r="H218" s="7" t="s">
        <v>71</v>
      </c>
      <c r="I218" s="7" t="s">
        <v>693</v>
      </c>
    </row>
    <row r="219" customFormat="false" ht="21.75" hidden="false" customHeight="true" outlineLevel="0" collapsed="false">
      <c r="B219" s="4" t="s">
        <v>694</v>
      </c>
      <c r="C219" s="4" t="s">
        <v>695</v>
      </c>
      <c r="D219" s="4" t="s">
        <v>643</v>
      </c>
      <c r="E219" s="4" t="s">
        <v>76</v>
      </c>
      <c r="F219" s="5" t="n">
        <v>0.89</v>
      </c>
      <c r="G219" s="13" t="n">
        <v>5</v>
      </c>
      <c r="H219" s="4" t="s">
        <v>71</v>
      </c>
      <c r="I219" s="4" t="s">
        <v>696</v>
      </c>
    </row>
    <row r="220" customFormat="false" ht="21.75" hidden="false" customHeight="true" outlineLevel="0" collapsed="false">
      <c r="B220" s="7" t="s">
        <v>697</v>
      </c>
      <c r="C220" s="7" t="s">
        <v>698</v>
      </c>
      <c r="D220" s="7" t="s">
        <v>643</v>
      </c>
      <c r="E220" s="7" t="s">
        <v>76</v>
      </c>
      <c r="F220" s="8" t="n">
        <v>1.72</v>
      </c>
      <c r="G220" s="14" t="n">
        <v>0</v>
      </c>
      <c r="H220" s="7" t="s">
        <v>84</v>
      </c>
      <c r="I220" s="7" t="s">
        <v>699</v>
      </c>
    </row>
    <row r="221" customFormat="false" ht="21.75" hidden="false" customHeight="true" outlineLevel="0" collapsed="false">
      <c r="B221" s="4" t="s">
        <v>700</v>
      </c>
      <c r="C221" s="4" t="s">
        <v>701</v>
      </c>
      <c r="D221" s="4" t="s">
        <v>702</v>
      </c>
      <c r="E221" s="4" t="s">
        <v>76</v>
      </c>
      <c r="F221" s="5" t="n">
        <v>1.48</v>
      </c>
      <c r="G221" s="13" t="n">
        <v>2</v>
      </c>
      <c r="H221" s="4" t="s">
        <v>71</v>
      </c>
      <c r="I221" s="4" t="s">
        <v>703</v>
      </c>
    </row>
    <row r="222" customFormat="false" ht="21.75" hidden="false" customHeight="true" outlineLevel="0" collapsed="false">
      <c r="B222" s="7" t="s">
        <v>704</v>
      </c>
      <c r="C222" s="7" t="s">
        <v>705</v>
      </c>
      <c r="D222" s="7" t="s">
        <v>702</v>
      </c>
      <c r="E222" s="7" t="s">
        <v>76</v>
      </c>
      <c r="F222" s="8" t="n">
        <v>5.49</v>
      </c>
      <c r="G222" s="14" t="n">
        <v>285</v>
      </c>
      <c r="H222" s="7" t="s">
        <v>71</v>
      </c>
      <c r="I222" s="7" t="s">
        <v>706</v>
      </c>
    </row>
    <row r="223" customFormat="false" ht="21.75" hidden="false" customHeight="true" outlineLevel="0" collapsed="false">
      <c r="B223" s="4" t="s">
        <v>707</v>
      </c>
      <c r="C223" s="4" t="s">
        <v>708</v>
      </c>
      <c r="D223" s="4" t="s">
        <v>702</v>
      </c>
      <c r="E223" s="4" t="s">
        <v>76</v>
      </c>
      <c r="F223" s="5" t="n">
        <v>1.48</v>
      </c>
      <c r="G223" s="13" t="n">
        <v>6</v>
      </c>
      <c r="H223" s="4" t="s">
        <v>71</v>
      </c>
      <c r="I223" s="4" t="s">
        <v>709</v>
      </c>
    </row>
    <row r="224" customFormat="false" ht="21.75" hidden="false" customHeight="true" outlineLevel="0" collapsed="false">
      <c r="B224" s="7" t="s">
        <v>710</v>
      </c>
      <c r="C224" s="7" t="s">
        <v>711</v>
      </c>
      <c r="D224" s="7" t="s">
        <v>712</v>
      </c>
      <c r="E224" s="7" t="s">
        <v>76</v>
      </c>
      <c r="F224" s="8" t="n">
        <v>2.21</v>
      </c>
      <c r="G224" s="14" t="n">
        <v>0</v>
      </c>
      <c r="H224" s="7" t="s">
        <v>84</v>
      </c>
      <c r="I224" s="7" t="s">
        <v>713</v>
      </c>
    </row>
    <row r="225" customFormat="false" ht="21.75" hidden="false" customHeight="true" outlineLevel="0" collapsed="false">
      <c r="B225" s="4" t="s">
        <v>714</v>
      </c>
      <c r="C225" s="4" t="s">
        <v>715</v>
      </c>
      <c r="D225" s="4" t="s">
        <v>712</v>
      </c>
      <c r="E225" s="4" t="s">
        <v>76</v>
      </c>
      <c r="F225" s="5" t="n">
        <v>0.03</v>
      </c>
      <c r="G225" s="13" t="n">
        <v>482</v>
      </c>
      <c r="H225" s="4" t="s">
        <v>71</v>
      </c>
      <c r="I225" s="4" t="s">
        <v>716</v>
      </c>
    </row>
    <row r="226" customFormat="false" ht="21.75" hidden="false" customHeight="true" outlineLevel="0" collapsed="false">
      <c r="B226" s="7" t="s">
        <v>717</v>
      </c>
      <c r="C226" s="7" t="s">
        <v>718</v>
      </c>
      <c r="D226" s="7" t="s">
        <v>712</v>
      </c>
      <c r="E226" s="7" t="s">
        <v>76</v>
      </c>
      <c r="F226" s="8" t="n">
        <v>0.03</v>
      </c>
      <c r="G226" s="14" t="n">
        <v>608</v>
      </c>
      <c r="H226" s="7" t="s">
        <v>71</v>
      </c>
      <c r="I226" s="7" t="s">
        <v>719</v>
      </c>
    </row>
    <row r="227" customFormat="false" ht="21.75" hidden="false" customHeight="true" outlineLevel="0" collapsed="false">
      <c r="B227" s="4" t="s">
        <v>720</v>
      </c>
      <c r="C227" s="4" t="s">
        <v>721</v>
      </c>
      <c r="D227" s="4" t="s">
        <v>722</v>
      </c>
      <c r="E227" s="4" t="s">
        <v>169</v>
      </c>
      <c r="F227" s="5" t="n">
        <v>1.3</v>
      </c>
      <c r="G227" s="13" t="n">
        <v>24</v>
      </c>
      <c r="H227" s="4" t="s">
        <v>71</v>
      </c>
      <c r="I227" s="4" t="s">
        <v>723</v>
      </c>
    </row>
    <row r="228" customFormat="false" ht="21.75" hidden="false" customHeight="true" outlineLevel="0" collapsed="false">
      <c r="B228" s="7" t="s">
        <v>724</v>
      </c>
      <c r="C228" s="7" t="s">
        <v>725</v>
      </c>
      <c r="D228" s="7" t="s">
        <v>722</v>
      </c>
      <c r="E228" s="7" t="s">
        <v>76</v>
      </c>
      <c r="F228" s="8" t="n">
        <v>11.44</v>
      </c>
      <c r="G228" s="14" t="n">
        <v>10</v>
      </c>
      <c r="H228" s="7" t="s">
        <v>71</v>
      </c>
      <c r="I228" s="7" t="s">
        <v>726</v>
      </c>
    </row>
    <row r="229" customFormat="false" ht="21.75" hidden="false" customHeight="true" outlineLevel="0" collapsed="false">
      <c r="B229" s="4" t="s">
        <v>727</v>
      </c>
      <c r="C229" s="4" t="s">
        <v>728</v>
      </c>
      <c r="D229" s="4" t="s">
        <v>722</v>
      </c>
      <c r="E229" s="4" t="s">
        <v>76</v>
      </c>
      <c r="F229" s="5" t="n">
        <v>2.75</v>
      </c>
      <c r="G229" s="13" t="n">
        <v>8</v>
      </c>
      <c r="H229" s="4" t="s">
        <v>71</v>
      </c>
      <c r="I229" s="4" t="s">
        <v>729</v>
      </c>
    </row>
    <row r="230" customFormat="false" ht="21.75" hidden="false" customHeight="true" outlineLevel="0" collapsed="false">
      <c r="B230" s="7" t="s">
        <v>730</v>
      </c>
      <c r="C230" s="7" t="s">
        <v>731</v>
      </c>
      <c r="D230" s="7" t="s">
        <v>722</v>
      </c>
      <c r="E230" s="7" t="s">
        <v>76</v>
      </c>
      <c r="F230" s="8" t="n">
        <v>2.52</v>
      </c>
      <c r="G230" s="14" t="n">
        <v>7</v>
      </c>
      <c r="H230" s="7" t="s">
        <v>71</v>
      </c>
      <c r="I230" s="7" t="s">
        <v>732</v>
      </c>
    </row>
    <row r="231" customFormat="false" ht="21.75" hidden="false" customHeight="true" outlineLevel="0" collapsed="false">
      <c r="B231" s="4" t="s">
        <v>733</v>
      </c>
      <c r="C231" s="4" t="s">
        <v>734</v>
      </c>
      <c r="D231" s="4" t="s">
        <v>722</v>
      </c>
      <c r="E231" s="4" t="s">
        <v>202</v>
      </c>
      <c r="F231" s="5" t="n">
        <v>2.35</v>
      </c>
      <c r="G231" s="13" t="n">
        <v>10</v>
      </c>
      <c r="H231" s="4" t="s">
        <v>71</v>
      </c>
      <c r="I231" s="4" t="s">
        <v>735</v>
      </c>
    </row>
    <row r="232" customFormat="false" ht="21.75" hidden="false" customHeight="true" outlineLevel="0" collapsed="false">
      <c r="B232" s="7" t="s">
        <v>736</v>
      </c>
      <c r="C232" s="7" t="s">
        <v>737</v>
      </c>
      <c r="D232" s="7" t="s">
        <v>738</v>
      </c>
      <c r="E232" s="7" t="s">
        <v>76</v>
      </c>
      <c r="F232" s="8" t="n">
        <v>3.62</v>
      </c>
      <c r="G232" s="14" t="n">
        <v>570</v>
      </c>
      <c r="H232" s="7" t="s">
        <v>71</v>
      </c>
      <c r="I232" s="7" t="s">
        <v>739</v>
      </c>
    </row>
    <row r="233" customFormat="false" ht="21.75" hidden="false" customHeight="true" outlineLevel="0" collapsed="false">
      <c r="B233" s="4" t="s">
        <v>740</v>
      </c>
      <c r="C233" s="4" t="s">
        <v>741</v>
      </c>
      <c r="D233" s="4" t="s">
        <v>738</v>
      </c>
      <c r="E233" s="4" t="s">
        <v>76</v>
      </c>
      <c r="F233" s="5" t="n">
        <v>2.4</v>
      </c>
      <c r="G233" s="13" t="n">
        <v>161</v>
      </c>
      <c r="H233" s="4" t="s">
        <v>71</v>
      </c>
      <c r="I233" s="4" t="s">
        <v>742</v>
      </c>
    </row>
    <row r="234" customFormat="false" ht="21.75" hidden="false" customHeight="true" outlineLevel="0" collapsed="false">
      <c r="B234" s="7" t="s">
        <v>743</v>
      </c>
      <c r="C234" s="7" t="s">
        <v>744</v>
      </c>
      <c r="D234" s="7" t="s">
        <v>738</v>
      </c>
      <c r="E234" s="7" t="s">
        <v>76</v>
      </c>
      <c r="F234" s="8" t="n">
        <v>5.08</v>
      </c>
      <c r="G234" s="14" t="n">
        <v>352</v>
      </c>
      <c r="H234" s="7" t="s">
        <v>71</v>
      </c>
      <c r="I234" s="7" t="s">
        <v>745</v>
      </c>
    </row>
    <row r="235" customFormat="false" ht="21.75" hidden="false" customHeight="true" outlineLevel="0" collapsed="false">
      <c r="B235" s="4" t="s">
        <v>746</v>
      </c>
      <c r="C235" s="4" t="s">
        <v>747</v>
      </c>
      <c r="D235" s="4" t="s">
        <v>748</v>
      </c>
      <c r="E235" s="4" t="s">
        <v>202</v>
      </c>
      <c r="F235" s="5" t="n">
        <v>2.35</v>
      </c>
      <c r="G235" s="13" t="n">
        <v>30</v>
      </c>
      <c r="H235" s="4" t="s">
        <v>71</v>
      </c>
      <c r="I235" s="4" t="s">
        <v>749</v>
      </c>
    </row>
    <row r="236" customFormat="false" ht="21.75" hidden="false" customHeight="true" outlineLevel="0" collapsed="false">
      <c r="B236" s="7" t="s">
        <v>750</v>
      </c>
      <c r="C236" s="7" t="s">
        <v>751</v>
      </c>
      <c r="D236" s="7" t="s">
        <v>748</v>
      </c>
      <c r="E236" s="7" t="s">
        <v>169</v>
      </c>
      <c r="F236" s="8" t="n">
        <v>1.92</v>
      </c>
      <c r="G236" s="14" t="n">
        <v>9</v>
      </c>
      <c r="H236" s="7" t="s">
        <v>71</v>
      </c>
      <c r="I236" s="7" t="s">
        <v>752</v>
      </c>
    </row>
    <row r="237" customFormat="false" ht="21.75" hidden="false" customHeight="true" outlineLevel="0" collapsed="false">
      <c r="B237" s="4" t="s">
        <v>753</v>
      </c>
      <c r="C237" s="4" t="s">
        <v>754</v>
      </c>
      <c r="D237" s="4" t="s">
        <v>755</v>
      </c>
      <c r="E237" s="4" t="s">
        <v>169</v>
      </c>
      <c r="F237" s="5" t="n">
        <v>1.92</v>
      </c>
      <c r="G237" s="13" t="n">
        <v>12</v>
      </c>
      <c r="H237" s="4" t="s">
        <v>71</v>
      </c>
      <c r="I237" s="4" t="s">
        <v>756</v>
      </c>
    </row>
    <row r="238" customFormat="false" ht="21.75" hidden="false" customHeight="true" outlineLevel="0" collapsed="false">
      <c r="B238" s="7" t="s">
        <v>757</v>
      </c>
      <c r="C238" s="7" t="s">
        <v>758</v>
      </c>
      <c r="D238" s="7" t="s">
        <v>759</v>
      </c>
      <c r="E238" s="7" t="s">
        <v>202</v>
      </c>
      <c r="F238" s="8" t="n">
        <v>1.8</v>
      </c>
      <c r="G238" s="14" t="n">
        <v>6</v>
      </c>
      <c r="H238" s="7" t="s">
        <v>71</v>
      </c>
      <c r="I238" s="7" t="s">
        <v>760</v>
      </c>
    </row>
    <row r="239" customFormat="false" ht="21.75" hidden="false" customHeight="true" outlineLevel="0" collapsed="false">
      <c r="B239" s="4" t="s">
        <v>761</v>
      </c>
      <c r="C239" s="4" t="s">
        <v>762</v>
      </c>
      <c r="D239" s="4" t="s">
        <v>763</v>
      </c>
      <c r="E239" s="4" t="s">
        <v>202</v>
      </c>
      <c r="F239" s="5" t="n">
        <v>18</v>
      </c>
      <c r="G239" s="13" t="n">
        <v>1</v>
      </c>
      <c r="H239" s="4" t="s">
        <v>71</v>
      </c>
      <c r="I239" s="4" t="s">
        <v>764</v>
      </c>
    </row>
    <row r="240" customFormat="false" ht="21.75" hidden="false" customHeight="true" outlineLevel="0" collapsed="false">
      <c r="B240" s="7" t="s">
        <v>765</v>
      </c>
      <c r="C240" s="7" t="s">
        <v>766</v>
      </c>
      <c r="D240" s="7" t="s">
        <v>763</v>
      </c>
      <c r="E240" s="7" t="s">
        <v>202</v>
      </c>
      <c r="F240" s="8" t="n">
        <v>2.25</v>
      </c>
      <c r="G240" s="14" t="n">
        <v>37</v>
      </c>
      <c r="H240" s="7" t="s">
        <v>71</v>
      </c>
      <c r="I240" s="7" t="s">
        <v>767</v>
      </c>
    </row>
    <row r="241" customFormat="false" ht="21.75" hidden="false" customHeight="true" outlineLevel="0" collapsed="false">
      <c r="B241" s="4" t="s">
        <v>768</v>
      </c>
      <c r="C241" s="4" t="s">
        <v>769</v>
      </c>
      <c r="D241" s="4" t="s">
        <v>763</v>
      </c>
      <c r="E241" s="4" t="s">
        <v>169</v>
      </c>
      <c r="F241" s="5" t="n">
        <v>1.41</v>
      </c>
      <c r="G241" s="13" t="n">
        <v>3</v>
      </c>
      <c r="H241" s="4" t="s">
        <v>71</v>
      </c>
      <c r="I241" s="4" t="s">
        <v>770</v>
      </c>
    </row>
    <row r="242" customFormat="false" ht="21.75" hidden="false" customHeight="true" outlineLevel="0" collapsed="false">
      <c r="B242" s="7" t="s">
        <v>771</v>
      </c>
      <c r="C242" s="7" t="s">
        <v>772</v>
      </c>
      <c r="D242" s="7" t="s">
        <v>773</v>
      </c>
      <c r="E242" s="7" t="s">
        <v>76</v>
      </c>
      <c r="F242" s="8" t="n">
        <v>2.52</v>
      </c>
      <c r="G242" s="14" t="n">
        <v>14</v>
      </c>
      <c r="H242" s="7" t="s">
        <v>71</v>
      </c>
      <c r="I242" s="7" t="s">
        <v>774</v>
      </c>
    </row>
    <row r="243" customFormat="false" ht="21.75" hidden="false" customHeight="true" outlineLevel="0" collapsed="false">
      <c r="B243" s="4" t="s">
        <v>775</v>
      </c>
      <c r="C243" s="4" t="s">
        <v>776</v>
      </c>
      <c r="D243" s="4" t="s">
        <v>773</v>
      </c>
      <c r="E243" s="4" t="s">
        <v>202</v>
      </c>
      <c r="F243" s="5" t="n">
        <v>2.35</v>
      </c>
      <c r="G243" s="13" t="n">
        <v>147</v>
      </c>
      <c r="H243" s="4" t="s">
        <v>71</v>
      </c>
      <c r="I243" s="4" t="s">
        <v>777</v>
      </c>
    </row>
    <row r="244" customFormat="false" ht="21.75" hidden="false" customHeight="true" outlineLevel="0" collapsed="false">
      <c r="B244" s="7" t="s">
        <v>778</v>
      </c>
      <c r="C244" s="7" t="s">
        <v>779</v>
      </c>
      <c r="D244" s="7" t="s">
        <v>773</v>
      </c>
      <c r="E244" s="7" t="s">
        <v>169</v>
      </c>
      <c r="F244" s="8" t="n">
        <v>1.8</v>
      </c>
      <c r="G244" s="14" t="n">
        <v>2</v>
      </c>
      <c r="H244" s="7" t="s">
        <v>71</v>
      </c>
      <c r="I244" s="7" t="s">
        <v>780</v>
      </c>
    </row>
    <row r="245" customFormat="false" ht="21.75" hidden="false" customHeight="true" outlineLevel="0" collapsed="false">
      <c r="B245" s="4" t="s">
        <v>781</v>
      </c>
      <c r="C245" s="4" t="s">
        <v>782</v>
      </c>
      <c r="D245" s="4" t="s">
        <v>773</v>
      </c>
      <c r="E245" s="4" t="s">
        <v>76</v>
      </c>
      <c r="F245" s="5" t="n">
        <v>1.96</v>
      </c>
      <c r="G245" s="13" t="n">
        <v>14</v>
      </c>
      <c r="H245" s="4" t="s">
        <v>71</v>
      </c>
      <c r="I245" s="4" t="s">
        <v>783</v>
      </c>
    </row>
    <row r="246" customFormat="false" ht="21.75" hidden="false" customHeight="true" outlineLevel="0" collapsed="false">
      <c r="B246" s="7" t="s">
        <v>784</v>
      </c>
      <c r="C246" s="7" t="s">
        <v>785</v>
      </c>
      <c r="D246" s="7" t="s">
        <v>786</v>
      </c>
      <c r="E246" s="7" t="s">
        <v>202</v>
      </c>
      <c r="F246" s="8" t="n">
        <v>3</v>
      </c>
      <c r="G246" s="14" t="n">
        <v>9</v>
      </c>
      <c r="H246" s="7" t="s">
        <v>71</v>
      </c>
      <c r="I246" s="7" t="s">
        <v>787</v>
      </c>
    </row>
    <row r="247" customFormat="false" ht="21.75" hidden="false" customHeight="true" outlineLevel="0" collapsed="false">
      <c r="B247" s="4" t="s">
        <v>788</v>
      </c>
      <c r="C247" s="4" t="s">
        <v>789</v>
      </c>
      <c r="D247" s="4" t="s">
        <v>790</v>
      </c>
      <c r="E247" s="4" t="s">
        <v>76</v>
      </c>
      <c r="F247" s="5" t="n">
        <v>29.72</v>
      </c>
      <c r="G247" s="13" t="n">
        <v>9</v>
      </c>
      <c r="H247" s="4" t="s">
        <v>71</v>
      </c>
      <c r="I247" s="4" t="s">
        <v>791</v>
      </c>
    </row>
    <row r="248" customFormat="false" ht="21.75" hidden="false" customHeight="true" outlineLevel="0" collapsed="false">
      <c r="B248" s="7" t="s">
        <v>792</v>
      </c>
      <c r="C248" s="7" t="s">
        <v>793</v>
      </c>
      <c r="D248" s="7" t="s">
        <v>790</v>
      </c>
      <c r="E248" s="7" t="s">
        <v>76</v>
      </c>
      <c r="F248" s="8" t="n">
        <v>3.66</v>
      </c>
      <c r="G248" s="14" t="n">
        <v>0</v>
      </c>
      <c r="H248" s="7" t="s">
        <v>84</v>
      </c>
      <c r="I248" s="7" t="s">
        <v>794</v>
      </c>
    </row>
    <row r="249" customFormat="false" ht="21.75" hidden="false" customHeight="true" outlineLevel="0" collapsed="false">
      <c r="B249" s="4" t="s">
        <v>795</v>
      </c>
      <c r="C249" s="4" t="s">
        <v>796</v>
      </c>
      <c r="D249" s="4" t="s">
        <v>790</v>
      </c>
      <c r="E249" s="4" t="s">
        <v>76</v>
      </c>
      <c r="F249" s="5" t="n">
        <v>5.03</v>
      </c>
      <c r="G249" s="13" t="n">
        <v>25</v>
      </c>
      <c r="H249" s="4" t="s">
        <v>71</v>
      </c>
      <c r="I249" s="4" t="s">
        <v>797</v>
      </c>
    </row>
    <row r="250" customFormat="false" ht="21.75" hidden="false" customHeight="true" outlineLevel="0" collapsed="false">
      <c r="B250" s="7" t="s">
        <v>798</v>
      </c>
      <c r="C250" s="7" t="s">
        <v>799</v>
      </c>
      <c r="D250" s="7" t="s">
        <v>790</v>
      </c>
      <c r="E250" s="7" t="s">
        <v>76</v>
      </c>
      <c r="F250" s="8" t="n">
        <v>95.97</v>
      </c>
      <c r="G250" s="14" t="n">
        <v>14</v>
      </c>
      <c r="H250" s="7" t="s">
        <v>71</v>
      </c>
      <c r="I250" s="7" t="s">
        <v>800</v>
      </c>
    </row>
    <row r="251" customFormat="false" ht="21.75" hidden="false" customHeight="true" outlineLevel="0" collapsed="false">
      <c r="B251" s="4" t="s">
        <v>801</v>
      </c>
      <c r="C251" s="4" t="s">
        <v>802</v>
      </c>
      <c r="D251" s="4" t="s">
        <v>790</v>
      </c>
      <c r="E251" s="4" t="s">
        <v>76</v>
      </c>
      <c r="F251" s="5" t="n">
        <v>22.86</v>
      </c>
      <c r="G251" s="13" t="n">
        <v>7</v>
      </c>
      <c r="H251" s="4" t="s">
        <v>71</v>
      </c>
      <c r="I251" s="4" t="s">
        <v>803</v>
      </c>
    </row>
    <row r="252" customFormat="false" ht="21.75" hidden="false" customHeight="true" outlineLevel="0" collapsed="false">
      <c r="B252" s="7" t="s">
        <v>804</v>
      </c>
      <c r="C252" s="7" t="s">
        <v>805</v>
      </c>
      <c r="D252" s="7" t="s">
        <v>790</v>
      </c>
      <c r="E252" s="7" t="s">
        <v>76</v>
      </c>
      <c r="F252" s="8" t="n">
        <v>12.81</v>
      </c>
      <c r="G252" s="14" t="n">
        <v>67</v>
      </c>
      <c r="H252" s="7" t="s">
        <v>71</v>
      </c>
      <c r="I252" s="7" t="s">
        <v>800</v>
      </c>
    </row>
    <row r="253" customFormat="false" ht="21.75" hidden="false" customHeight="true" outlineLevel="0" collapsed="false">
      <c r="B253" s="4" t="s">
        <v>806</v>
      </c>
      <c r="C253" s="4" t="s">
        <v>807</v>
      </c>
      <c r="D253" s="4" t="s">
        <v>790</v>
      </c>
      <c r="E253" s="4" t="s">
        <v>76</v>
      </c>
      <c r="F253" s="5" t="n">
        <v>2.75</v>
      </c>
      <c r="G253" s="13" t="n">
        <v>566</v>
      </c>
      <c r="H253" s="4" t="s">
        <v>71</v>
      </c>
      <c r="I253" s="4" t="s">
        <v>808</v>
      </c>
    </row>
    <row r="254" customFormat="false" ht="21.75" hidden="false" customHeight="true" outlineLevel="0" collapsed="false">
      <c r="B254" s="7" t="s">
        <v>809</v>
      </c>
      <c r="C254" s="7" t="s">
        <v>810</v>
      </c>
      <c r="D254" s="7" t="s">
        <v>790</v>
      </c>
      <c r="E254" s="7" t="s">
        <v>76</v>
      </c>
      <c r="F254" s="8" t="n">
        <v>18.24</v>
      </c>
      <c r="G254" s="14" t="n">
        <v>76</v>
      </c>
      <c r="H254" s="7" t="s">
        <v>71</v>
      </c>
      <c r="I254" s="7" t="s">
        <v>811</v>
      </c>
    </row>
    <row r="255" customFormat="false" ht="21.75" hidden="false" customHeight="true" outlineLevel="0" collapsed="false">
      <c r="B255" s="4" t="s">
        <v>812</v>
      </c>
      <c r="C255" s="4" t="s">
        <v>813</v>
      </c>
      <c r="D255" s="4" t="s">
        <v>814</v>
      </c>
      <c r="E255" s="4" t="s">
        <v>169</v>
      </c>
      <c r="F255" s="5" t="n">
        <v>9.6</v>
      </c>
      <c r="G255" s="13" t="n">
        <v>1</v>
      </c>
      <c r="H255" s="4" t="s">
        <v>71</v>
      </c>
      <c r="I255" s="4" t="s">
        <v>815</v>
      </c>
    </row>
    <row r="256" customFormat="false" ht="21.75" hidden="false" customHeight="true" outlineLevel="0" collapsed="false">
      <c r="B256" s="7" t="s">
        <v>816</v>
      </c>
      <c r="C256" s="7" t="s">
        <v>817</v>
      </c>
      <c r="D256" s="7" t="s">
        <v>818</v>
      </c>
      <c r="E256" s="7" t="s">
        <v>76</v>
      </c>
      <c r="F256" s="8" t="n">
        <v>1.48</v>
      </c>
      <c r="G256" s="14" t="n">
        <v>11</v>
      </c>
      <c r="H256" s="7" t="s">
        <v>71</v>
      </c>
      <c r="I256" s="7" t="s">
        <v>819</v>
      </c>
    </row>
    <row r="257" customFormat="false" ht="21.75" hidden="false" customHeight="true" outlineLevel="0" collapsed="false">
      <c r="B257" s="4" t="s">
        <v>820</v>
      </c>
      <c r="C257" s="4" t="s">
        <v>821</v>
      </c>
      <c r="D257" s="4" t="s">
        <v>818</v>
      </c>
      <c r="E257" s="4" t="s">
        <v>76</v>
      </c>
      <c r="F257" s="5" t="n">
        <v>2.21</v>
      </c>
      <c r="G257" s="13" t="n">
        <v>678</v>
      </c>
      <c r="H257" s="4" t="s">
        <v>71</v>
      </c>
      <c r="I257" s="4" t="s">
        <v>822</v>
      </c>
    </row>
    <row r="258" customFormat="false" ht="21.75" hidden="false" customHeight="true" outlineLevel="0" collapsed="false">
      <c r="B258" s="7" t="s">
        <v>823</v>
      </c>
      <c r="C258" s="7" t="s">
        <v>824</v>
      </c>
      <c r="D258" s="7" t="s">
        <v>825</v>
      </c>
      <c r="E258" s="7" t="s">
        <v>76</v>
      </c>
      <c r="F258" s="8" t="n">
        <v>3.21</v>
      </c>
      <c r="G258" s="14" t="n">
        <v>0</v>
      </c>
      <c r="H258" s="7" t="s">
        <v>84</v>
      </c>
      <c r="I258" s="7" t="s">
        <v>826</v>
      </c>
    </row>
    <row r="259" customFormat="false" ht="21.75" hidden="false" customHeight="true" outlineLevel="0" collapsed="false">
      <c r="B259" s="4" t="s">
        <v>827</v>
      </c>
      <c r="C259" s="4" t="s">
        <v>828</v>
      </c>
      <c r="D259" s="4" t="s">
        <v>825</v>
      </c>
      <c r="E259" s="4" t="s">
        <v>76</v>
      </c>
      <c r="F259" s="5" t="n">
        <v>0.5</v>
      </c>
      <c r="G259" s="13" t="n">
        <v>0</v>
      </c>
      <c r="H259" s="4" t="s">
        <v>84</v>
      </c>
      <c r="I259" s="4" t="s">
        <v>829</v>
      </c>
    </row>
    <row r="260" customFormat="false" ht="21.75" hidden="false" customHeight="true" outlineLevel="0" collapsed="false">
      <c r="B260" s="7" t="s">
        <v>830</v>
      </c>
      <c r="C260" s="7" t="s">
        <v>831</v>
      </c>
      <c r="D260" s="7" t="s">
        <v>832</v>
      </c>
      <c r="E260" s="7" t="s">
        <v>202</v>
      </c>
      <c r="F260" s="8" t="n">
        <v>0.64</v>
      </c>
      <c r="G260" s="14" t="n">
        <v>3</v>
      </c>
      <c r="H260" s="7" t="s">
        <v>71</v>
      </c>
      <c r="I260" s="7" t="s">
        <v>833</v>
      </c>
    </row>
    <row r="261" customFormat="false" ht="21.75" hidden="false" customHeight="true" outlineLevel="0" collapsed="false">
      <c r="B261" s="4" t="s">
        <v>834</v>
      </c>
      <c r="C261" s="4" t="s">
        <v>835</v>
      </c>
      <c r="D261" s="4" t="s">
        <v>832</v>
      </c>
      <c r="E261" s="4" t="s">
        <v>202</v>
      </c>
      <c r="F261" s="5" t="n">
        <v>1.28</v>
      </c>
      <c r="G261" s="13" t="n">
        <v>1</v>
      </c>
      <c r="H261" s="4" t="s">
        <v>71</v>
      </c>
      <c r="I261" s="4" t="s">
        <v>836</v>
      </c>
    </row>
    <row r="262" customFormat="false" ht="21.75" hidden="false" customHeight="true" outlineLevel="0" collapsed="false">
      <c r="B262" s="7" t="s">
        <v>837</v>
      </c>
      <c r="C262" s="7" t="s">
        <v>838</v>
      </c>
      <c r="D262" s="7" t="s">
        <v>832</v>
      </c>
      <c r="E262" s="7" t="s">
        <v>202</v>
      </c>
      <c r="F262" s="8" t="n">
        <v>1.15</v>
      </c>
      <c r="G262" s="14" t="n">
        <v>41</v>
      </c>
      <c r="H262" s="7" t="s">
        <v>71</v>
      </c>
      <c r="I262" s="7" t="s">
        <v>839</v>
      </c>
    </row>
    <row r="263" customFormat="false" ht="21.75" hidden="false" customHeight="true" outlineLevel="0" collapsed="false">
      <c r="B263" s="4" t="s">
        <v>840</v>
      </c>
      <c r="C263" s="4" t="s">
        <v>841</v>
      </c>
      <c r="D263" s="4" t="s">
        <v>842</v>
      </c>
      <c r="E263" s="4" t="s">
        <v>76</v>
      </c>
      <c r="F263" s="5" t="n">
        <v>1.48</v>
      </c>
      <c r="G263" s="13" t="n">
        <v>4</v>
      </c>
      <c r="H263" s="4" t="s">
        <v>71</v>
      </c>
      <c r="I263" s="4" t="s">
        <v>843</v>
      </c>
    </row>
    <row r="264" customFormat="false" ht="21.75" hidden="false" customHeight="true" outlineLevel="0" collapsed="false">
      <c r="B264" s="7" t="s">
        <v>844</v>
      </c>
      <c r="C264" s="7" t="s">
        <v>845</v>
      </c>
      <c r="D264" s="7" t="s">
        <v>842</v>
      </c>
      <c r="E264" s="7" t="s">
        <v>76</v>
      </c>
      <c r="F264" s="8" t="n">
        <v>0.3</v>
      </c>
      <c r="G264" s="14" t="n">
        <v>0</v>
      </c>
      <c r="H264" s="7" t="s">
        <v>84</v>
      </c>
      <c r="I264" s="7" t="s">
        <v>846</v>
      </c>
    </row>
    <row r="265" customFormat="false" ht="21.75" hidden="false" customHeight="true" outlineLevel="0" collapsed="false">
      <c r="B265" s="4" t="s">
        <v>847</v>
      </c>
      <c r="C265" s="4" t="s">
        <v>848</v>
      </c>
      <c r="D265" s="4" t="s">
        <v>849</v>
      </c>
      <c r="E265" s="4" t="s">
        <v>202</v>
      </c>
      <c r="F265" s="5" t="n">
        <v>0.64</v>
      </c>
      <c r="G265" s="13" t="n">
        <v>90</v>
      </c>
      <c r="H265" s="4" t="s">
        <v>71</v>
      </c>
      <c r="I265" s="4" t="s">
        <v>850</v>
      </c>
    </row>
    <row r="266" customFormat="false" ht="21.75" hidden="false" customHeight="true" outlineLevel="0" collapsed="false">
      <c r="B266" s="7" t="s">
        <v>851</v>
      </c>
      <c r="C266" s="7" t="s">
        <v>852</v>
      </c>
      <c r="D266" s="7" t="s">
        <v>853</v>
      </c>
      <c r="E266" s="7" t="s">
        <v>76</v>
      </c>
      <c r="F266" s="8" t="n">
        <v>2.01</v>
      </c>
      <c r="G266" s="14" t="n">
        <v>0</v>
      </c>
      <c r="H266" s="7" t="s">
        <v>84</v>
      </c>
      <c r="I266" s="7" t="s">
        <v>854</v>
      </c>
    </row>
    <row r="267" customFormat="false" ht="21.75" hidden="false" customHeight="true" outlineLevel="0" collapsed="false">
      <c r="B267" s="4" t="s">
        <v>855</v>
      </c>
      <c r="C267" s="4" t="s">
        <v>856</v>
      </c>
      <c r="D267" s="4" t="s">
        <v>853</v>
      </c>
      <c r="E267" s="4" t="s">
        <v>76</v>
      </c>
      <c r="F267" s="5" t="n">
        <v>0.5</v>
      </c>
      <c r="G267" s="13" t="n">
        <v>0</v>
      </c>
      <c r="H267" s="4" t="s">
        <v>84</v>
      </c>
      <c r="I267" s="4" t="s">
        <v>857</v>
      </c>
    </row>
    <row r="268" customFormat="false" ht="21.75" hidden="false" customHeight="true" outlineLevel="0" collapsed="false">
      <c r="B268" s="7" t="s">
        <v>858</v>
      </c>
      <c r="C268" s="7" t="s">
        <v>859</v>
      </c>
      <c r="D268" s="7" t="s">
        <v>853</v>
      </c>
      <c r="E268" s="7" t="s">
        <v>202</v>
      </c>
      <c r="F268" s="8" t="n">
        <v>18</v>
      </c>
      <c r="G268" s="14" t="n">
        <v>0</v>
      </c>
      <c r="H268" s="7" t="s">
        <v>84</v>
      </c>
      <c r="I268" s="7" t="s">
        <v>860</v>
      </c>
    </row>
    <row r="269" customFormat="false" ht="21.75" hidden="false" customHeight="true" outlineLevel="0" collapsed="false">
      <c r="B269" s="4" t="s">
        <v>861</v>
      </c>
      <c r="C269" s="4" t="s">
        <v>862</v>
      </c>
      <c r="D269" s="4" t="s">
        <v>853</v>
      </c>
      <c r="E269" s="4" t="s">
        <v>202</v>
      </c>
      <c r="F269" s="5" t="n">
        <v>9.6</v>
      </c>
      <c r="G269" s="13" t="n">
        <v>1</v>
      </c>
      <c r="H269" s="4" t="s">
        <v>71</v>
      </c>
      <c r="I269" s="4" t="s">
        <v>863</v>
      </c>
    </row>
    <row r="270" customFormat="false" ht="21.75" hidden="false" customHeight="true" outlineLevel="0" collapsed="false">
      <c r="B270" s="7" t="s">
        <v>864</v>
      </c>
      <c r="C270" s="7" t="s">
        <v>865</v>
      </c>
      <c r="D270" s="7" t="s">
        <v>853</v>
      </c>
      <c r="E270" s="7" t="s">
        <v>202</v>
      </c>
      <c r="F270" s="8" t="n">
        <v>8.4</v>
      </c>
      <c r="G270" s="14" t="n">
        <v>2</v>
      </c>
      <c r="H270" s="7" t="s">
        <v>71</v>
      </c>
      <c r="I270" s="7" t="s">
        <v>866</v>
      </c>
    </row>
    <row r="271" customFormat="false" ht="21.75" hidden="false" customHeight="true" outlineLevel="0" collapsed="false">
      <c r="B271" s="4" t="s">
        <v>867</v>
      </c>
      <c r="C271" s="4" t="s">
        <v>868</v>
      </c>
      <c r="D271" s="4" t="s">
        <v>853</v>
      </c>
      <c r="E271" s="4" t="s">
        <v>76</v>
      </c>
      <c r="F271" s="5" t="n">
        <v>8.69</v>
      </c>
      <c r="G271" s="13" t="n">
        <v>10</v>
      </c>
      <c r="H271" s="4" t="s">
        <v>71</v>
      </c>
      <c r="I271" s="4" t="s">
        <v>869</v>
      </c>
    </row>
    <row r="272" customFormat="false" ht="21.75" hidden="false" customHeight="true" outlineLevel="0" collapsed="false">
      <c r="B272" s="7" t="s">
        <v>870</v>
      </c>
      <c r="C272" s="7" t="s">
        <v>871</v>
      </c>
      <c r="D272" s="7" t="s">
        <v>853</v>
      </c>
      <c r="E272" s="7" t="s">
        <v>202</v>
      </c>
      <c r="F272" s="8" t="n">
        <v>12</v>
      </c>
      <c r="G272" s="14" t="n">
        <v>1</v>
      </c>
      <c r="H272" s="7" t="s">
        <v>71</v>
      </c>
      <c r="I272" s="7" t="s">
        <v>872</v>
      </c>
    </row>
    <row r="273" customFormat="false" ht="21.75" hidden="false" customHeight="true" outlineLevel="0" collapsed="false">
      <c r="B273" s="4" t="s">
        <v>873</v>
      </c>
      <c r="C273" s="4" t="s">
        <v>874</v>
      </c>
      <c r="D273" s="4" t="s">
        <v>853</v>
      </c>
      <c r="E273" s="4" t="s">
        <v>76</v>
      </c>
      <c r="F273" s="5" t="n">
        <v>27.42</v>
      </c>
      <c r="G273" s="13" t="n">
        <v>0</v>
      </c>
      <c r="H273" s="4" t="s">
        <v>84</v>
      </c>
      <c r="I273" s="4" t="s">
        <v>875</v>
      </c>
    </row>
    <row r="274" customFormat="false" ht="21.75" hidden="false" customHeight="true" outlineLevel="0" collapsed="false">
      <c r="B274" s="7" t="s">
        <v>876</v>
      </c>
      <c r="C274" s="7" t="s">
        <v>877</v>
      </c>
      <c r="D274" s="7" t="s">
        <v>853</v>
      </c>
      <c r="E274" s="7" t="s">
        <v>76</v>
      </c>
      <c r="F274" s="8" t="n">
        <v>3.66</v>
      </c>
      <c r="G274" s="14" t="n">
        <v>3</v>
      </c>
      <c r="H274" s="7" t="s">
        <v>71</v>
      </c>
      <c r="I274" s="7" t="s">
        <v>878</v>
      </c>
    </row>
    <row r="275" customFormat="false" ht="21.75" hidden="false" customHeight="true" outlineLevel="0" collapsed="false">
      <c r="B275" s="4" t="s">
        <v>879</v>
      </c>
      <c r="C275" s="4" t="s">
        <v>880</v>
      </c>
      <c r="D275" s="4" t="s">
        <v>853</v>
      </c>
      <c r="E275" s="4" t="s">
        <v>76</v>
      </c>
      <c r="F275" s="5" t="n">
        <v>3.66</v>
      </c>
      <c r="G275" s="13" t="n">
        <v>6</v>
      </c>
      <c r="H275" s="4" t="s">
        <v>71</v>
      </c>
      <c r="I275" s="4" t="s">
        <v>881</v>
      </c>
    </row>
    <row r="276" customFormat="false" ht="21.75" hidden="false" customHeight="true" outlineLevel="0" collapsed="false">
      <c r="B276" s="7" t="s">
        <v>882</v>
      </c>
      <c r="C276" s="7" t="s">
        <v>883</v>
      </c>
      <c r="D276" s="7" t="s">
        <v>853</v>
      </c>
      <c r="E276" s="7" t="s">
        <v>202</v>
      </c>
      <c r="F276" s="8" t="n">
        <v>12</v>
      </c>
      <c r="G276" s="14" t="n">
        <v>1</v>
      </c>
      <c r="H276" s="7" t="s">
        <v>71</v>
      </c>
      <c r="I276" s="7" t="s">
        <v>323</v>
      </c>
    </row>
    <row r="277" customFormat="false" ht="21.75" hidden="false" customHeight="true" outlineLevel="0" collapsed="false">
      <c r="B277" s="4" t="s">
        <v>884</v>
      </c>
      <c r="C277" s="4" t="s">
        <v>885</v>
      </c>
      <c r="D277" s="4" t="s">
        <v>853</v>
      </c>
      <c r="E277" s="4" t="s">
        <v>202</v>
      </c>
      <c r="F277" s="5" t="n">
        <v>4.8</v>
      </c>
      <c r="G277" s="13" t="n">
        <v>0</v>
      </c>
      <c r="H277" s="4" t="s">
        <v>84</v>
      </c>
      <c r="I277" s="4" t="s">
        <v>323</v>
      </c>
    </row>
    <row r="278" customFormat="false" ht="21.75" hidden="false" customHeight="true" outlineLevel="0" collapsed="false">
      <c r="B278" s="7" t="s">
        <v>886</v>
      </c>
      <c r="C278" s="7" t="s">
        <v>887</v>
      </c>
      <c r="D278" s="7" t="s">
        <v>853</v>
      </c>
      <c r="E278" s="7" t="s">
        <v>202</v>
      </c>
      <c r="F278" s="8" t="n">
        <v>12</v>
      </c>
      <c r="G278" s="14" t="n">
        <v>1</v>
      </c>
      <c r="H278" s="7" t="s">
        <v>71</v>
      </c>
      <c r="I278" s="7" t="s">
        <v>888</v>
      </c>
    </row>
    <row r="279" customFormat="false" ht="21.75" hidden="false" customHeight="true" outlineLevel="0" collapsed="false">
      <c r="B279" s="4" t="s">
        <v>889</v>
      </c>
      <c r="C279" s="4" t="s">
        <v>890</v>
      </c>
      <c r="D279" s="4" t="s">
        <v>853</v>
      </c>
      <c r="E279" s="4" t="s">
        <v>76</v>
      </c>
      <c r="F279" s="5" t="n">
        <v>0.75</v>
      </c>
      <c r="G279" s="13" t="n">
        <v>8</v>
      </c>
      <c r="H279" s="4" t="s">
        <v>71</v>
      </c>
      <c r="I279" s="4" t="s">
        <v>891</v>
      </c>
    </row>
    <row r="280" customFormat="false" ht="21.75" hidden="false" customHeight="true" outlineLevel="0" collapsed="false">
      <c r="B280" s="7" t="s">
        <v>892</v>
      </c>
      <c r="C280" s="7" t="s">
        <v>893</v>
      </c>
      <c r="D280" s="7" t="s">
        <v>853</v>
      </c>
      <c r="E280" s="7" t="s">
        <v>202</v>
      </c>
      <c r="F280" s="8" t="n">
        <v>12</v>
      </c>
      <c r="G280" s="14" t="n">
        <v>1</v>
      </c>
      <c r="H280" s="7" t="s">
        <v>71</v>
      </c>
      <c r="I280" s="7" t="s">
        <v>894</v>
      </c>
    </row>
    <row r="281" customFormat="false" ht="21.75" hidden="false" customHeight="true" outlineLevel="0" collapsed="false">
      <c r="B281" s="4" t="s">
        <v>895</v>
      </c>
      <c r="C281" s="4" t="s">
        <v>896</v>
      </c>
      <c r="D281" s="4" t="s">
        <v>853</v>
      </c>
      <c r="E281" s="4" t="s">
        <v>76</v>
      </c>
      <c r="F281" s="5" t="n">
        <v>2.42</v>
      </c>
      <c r="G281" s="13" t="n">
        <v>3</v>
      </c>
      <c r="H281" s="4" t="s">
        <v>71</v>
      </c>
      <c r="I281" s="4" t="s">
        <v>897</v>
      </c>
    </row>
    <row r="282" customFormat="false" ht="21.75" hidden="false" customHeight="true" outlineLevel="0" collapsed="false">
      <c r="B282" s="7" t="s">
        <v>898</v>
      </c>
      <c r="C282" s="7" t="s">
        <v>899</v>
      </c>
      <c r="D282" s="7" t="s">
        <v>853</v>
      </c>
      <c r="E282" s="7" t="s">
        <v>76</v>
      </c>
      <c r="F282" s="8" t="n">
        <v>0.18</v>
      </c>
      <c r="G282" s="14" t="n">
        <v>0</v>
      </c>
      <c r="H282" s="7" t="s">
        <v>84</v>
      </c>
      <c r="I282" s="7" t="s">
        <v>900</v>
      </c>
    </row>
    <row r="283" customFormat="false" ht="21.75" hidden="false" customHeight="true" outlineLevel="0" collapsed="false">
      <c r="B283" s="4" t="s">
        <v>901</v>
      </c>
      <c r="C283" s="4" t="s">
        <v>902</v>
      </c>
      <c r="D283" s="4" t="s">
        <v>853</v>
      </c>
      <c r="E283" s="4" t="s">
        <v>76</v>
      </c>
      <c r="F283" s="5" t="n">
        <v>0.41</v>
      </c>
      <c r="G283" s="13" t="n">
        <v>0</v>
      </c>
      <c r="H283" s="4" t="s">
        <v>84</v>
      </c>
      <c r="I283" s="4" t="s">
        <v>903</v>
      </c>
    </row>
    <row r="284" customFormat="false" ht="21.75" hidden="false" customHeight="true" outlineLevel="0" collapsed="false">
      <c r="B284" s="7" t="s">
        <v>904</v>
      </c>
      <c r="C284" s="7" t="s">
        <v>905</v>
      </c>
      <c r="D284" s="7" t="s">
        <v>853</v>
      </c>
      <c r="E284" s="7" t="s">
        <v>202</v>
      </c>
      <c r="F284" s="8" t="n">
        <v>5.4</v>
      </c>
      <c r="G284" s="14" t="n">
        <v>1</v>
      </c>
      <c r="H284" s="7" t="s">
        <v>71</v>
      </c>
      <c r="I284" s="7" t="s">
        <v>323</v>
      </c>
    </row>
    <row r="285" customFormat="false" ht="21.75" hidden="false" customHeight="true" outlineLevel="0" collapsed="false">
      <c r="B285" s="4" t="s">
        <v>906</v>
      </c>
      <c r="C285" s="4" t="s">
        <v>907</v>
      </c>
      <c r="D285" s="4" t="s">
        <v>853</v>
      </c>
      <c r="E285" s="4" t="s">
        <v>76</v>
      </c>
      <c r="F285" s="5" t="n">
        <v>5.03</v>
      </c>
      <c r="G285" s="13" t="n">
        <v>38</v>
      </c>
      <c r="H285" s="4" t="s">
        <v>71</v>
      </c>
      <c r="I285" s="4" t="s">
        <v>908</v>
      </c>
    </row>
    <row r="286" customFormat="false" ht="21.75" hidden="false" customHeight="true" outlineLevel="0" collapsed="false">
      <c r="B286" s="7" t="s">
        <v>909</v>
      </c>
      <c r="C286" s="7" t="s">
        <v>910</v>
      </c>
      <c r="D286" s="7" t="s">
        <v>853</v>
      </c>
      <c r="E286" s="7" t="s">
        <v>202</v>
      </c>
      <c r="F286" s="8" t="n">
        <v>12</v>
      </c>
      <c r="G286" s="14" t="n">
        <v>1</v>
      </c>
      <c r="H286" s="7" t="s">
        <v>71</v>
      </c>
      <c r="I286" s="7" t="s">
        <v>323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9"/>
    <col collapsed="false" customWidth="true" hidden="false" outlineLevel="0" max="3" min="3" style="1" width="44"/>
    <col collapsed="false" customWidth="true" hidden="false" outlineLevel="0" max="4" min="4" style="1" width="18"/>
    <col collapsed="false" customWidth="true" hidden="false" outlineLevel="0" max="9" min="5" style="1" width="8"/>
  </cols>
  <sheetData>
    <row r="2" customFormat="false" ht="31.5" hidden="false" customHeight="true" outlineLevel="0" collapsed="false">
      <c r="B2" s="2" t="s">
        <v>911</v>
      </c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59</v>
      </c>
      <c r="C4" s="3" t="s">
        <v>60</v>
      </c>
      <c r="D4" s="3" t="s">
        <v>61</v>
      </c>
      <c r="E4" s="3" t="s">
        <v>62</v>
      </c>
      <c r="F4" s="3" t="s">
        <v>912</v>
      </c>
      <c r="G4" s="3" t="s">
        <v>63</v>
      </c>
      <c r="H4" s="3" t="s">
        <v>913</v>
      </c>
      <c r="I4" s="3" t="s">
        <v>64</v>
      </c>
    </row>
    <row r="5" customFormat="false" ht="21.75" hidden="false" customHeight="true" outlineLevel="0" collapsed="false">
      <c r="B5" s="4" t="s">
        <v>67</v>
      </c>
      <c r="C5" s="4" t="s">
        <v>68</v>
      </c>
      <c r="D5" s="4" t="s">
        <v>69</v>
      </c>
      <c r="E5" s="4" t="s">
        <v>70</v>
      </c>
      <c r="F5" s="5" t="n">
        <v>0</v>
      </c>
      <c r="G5" s="5" t="n">
        <v>0</v>
      </c>
      <c r="H5" s="15" t="str">
        <f aca="false">IF(OR(F5="",F5=0),"",(G5-F5)/F5)</f>
        <v/>
      </c>
      <c r="I5" s="13" t="n">
        <v>999</v>
      </c>
    </row>
    <row r="6" customFormat="false" ht="21.75" hidden="false" customHeight="true" outlineLevel="0" collapsed="false">
      <c r="B6" s="7" t="s">
        <v>914</v>
      </c>
      <c r="C6" s="7" t="s">
        <v>425</v>
      </c>
      <c r="D6" s="7" t="s">
        <v>69</v>
      </c>
      <c r="E6" s="7" t="s">
        <v>169</v>
      </c>
      <c r="F6" s="8" t="n">
        <v>9.53</v>
      </c>
      <c r="G6" s="8" t="n">
        <v>11.44</v>
      </c>
      <c r="H6" s="16" t="n">
        <f aca="false">IF(OR(F6="",F6=0),"",(G6-F6)/F6)</f>
        <v>0.200419727177335</v>
      </c>
      <c r="I6" s="14" t="n">
        <v>95</v>
      </c>
    </row>
    <row r="7" customFormat="false" ht="21.75" hidden="false" customHeight="true" outlineLevel="0" collapsed="false">
      <c r="B7" s="4" t="s">
        <v>915</v>
      </c>
      <c r="C7" s="4" t="s">
        <v>429</v>
      </c>
      <c r="D7" s="4" t="s">
        <v>69</v>
      </c>
      <c r="E7" s="4" t="s">
        <v>169</v>
      </c>
      <c r="F7" s="5" t="n">
        <v>13.33</v>
      </c>
      <c r="G7" s="5" t="n">
        <v>16</v>
      </c>
      <c r="H7" s="15" t="n">
        <f aca="false">IF(OR(F7="",F7=0),"",(G7-F7)/F7)</f>
        <v>0.200300075018755</v>
      </c>
      <c r="I7" s="13" t="n">
        <v>57</v>
      </c>
    </row>
    <row r="8" customFormat="false" ht="21.75" hidden="false" customHeight="true" outlineLevel="0" collapsed="false">
      <c r="B8" s="7" t="s">
        <v>916</v>
      </c>
      <c r="C8" s="7" t="s">
        <v>917</v>
      </c>
      <c r="D8" s="7" t="s">
        <v>918</v>
      </c>
      <c r="E8" s="7" t="s">
        <v>169</v>
      </c>
      <c r="F8" s="8" t="n">
        <v>10.67</v>
      </c>
      <c r="G8" s="8" t="n">
        <v>12.81</v>
      </c>
      <c r="H8" s="16" t="n">
        <f aca="false">IF(OR(F8="",F8=0),"",(G8-F8)/F8)</f>
        <v>0.200562324273665</v>
      </c>
      <c r="I8" s="14" t="n">
        <v>0</v>
      </c>
    </row>
    <row r="9" customFormat="false" ht="21.75" hidden="false" customHeight="true" outlineLevel="0" collapsed="false">
      <c r="B9" s="4" t="s">
        <v>919</v>
      </c>
      <c r="C9" s="4" t="s">
        <v>108</v>
      </c>
      <c r="D9" s="4" t="s">
        <v>920</v>
      </c>
      <c r="E9" s="4" t="s">
        <v>169</v>
      </c>
      <c r="F9" s="5" t="n">
        <v>19.21</v>
      </c>
      <c r="G9" s="5" t="n">
        <v>23.06</v>
      </c>
      <c r="H9" s="15" t="n">
        <f aca="false">IF(OR(F9="",F9=0),"",(G9-F9)/F9)</f>
        <v>0.200416449765747</v>
      </c>
      <c r="I9" s="13" t="n">
        <v>28</v>
      </c>
    </row>
    <row r="10" customFormat="false" ht="21.75" hidden="false" customHeight="true" outlineLevel="0" collapsed="false">
      <c r="B10" s="7" t="s">
        <v>921</v>
      </c>
      <c r="C10" s="7" t="s">
        <v>110</v>
      </c>
      <c r="D10" s="7" t="s">
        <v>920</v>
      </c>
      <c r="E10" s="7" t="s">
        <v>169</v>
      </c>
      <c r="F10" s="8" t="n">
        <v>3.05</v>
      </c>
      <c r="G10" s="8" t="n">
        <v>3.66</v>
      </c>
      <c r="H10" s="16" t="n">
        <f aca="false">IF(OR(F10="",F10=0),"",(G10-F10)/F10)</f>
        <v>0.2</v>
      </c>
      <c r="I10" s="14" t="n">
        <v>72</v>
      </c>
    </row>
    <row r="11" customFormat="false" ht="21.75" hidden="false" customHeight="true" outlineLevel="0" collapsed="false">
      <c r="B11" s="4" t="s">
        <v>922</v>
      </c>
      <c r="C11" s="4" t="s">
        <v>112</v>
      </c>
      <c r="D11" s="4" t="s">
        <v>920</v>
      </c>
      <c r="E11" s="4" t="s">
        <v>169</v>
      </c>
      <c r="F11" s="5" t="n">
        <v>3.81</v>
      </c>
      <c r="G11" s="5" t="n">
        <v>4.58</v>
      </c>
      <c r="H11" s="15" t="n">
        <f aca="false">IF(OR(F11="",F11=0),"",(G11-F11)/F11)</f>
        <v>0.202099737532808</v>
      </c>
      <c r="I11" s="13" t="n">
        <v>40</v>
      </c>
    </row>
    <row r="12" customFormat="false" ht="21.75" hidden="false" customHeight="true" outlineLevel="0" collapsed="false">
      <c r="B12" s="7" t="s">
        <v>923</v>
      </c>
      <c r="C12" s="7" t="s">
        <v>325</v>
      </c>
      <c r="D12" s="7" t="s">
        <v>69</v>
      </c>
      <c r="E12" s="7" t="s">
        <v>169</v>
      </c>
      <c r="F12" s="8" t="n">
        <v>4.19</v>
      </c>
      <c r="G12" s="8" t="n">
        <v>5.03</v>
      </c>
      <c r="H12" s="16" t="n">
        <f aca="false">IF(OR(F12="",F12=0),"",(G12-F12)/F12)</f>
        <v>0.200477326968974</v>
      </c>
      <c r="I12" s="14" t="n">
        <v>182</v>
      </c>
    </row>
    <row r="13" customFormat="false" ht="21.75" hidden="false" customHeight="true" outlineLevel="0" collapsed="false">
      <c r="B13" s="4" t="s">
        <v>924</v>
      </c>
      <c r="C13" s="4" t="s">
        <v>114</v>
      </c>
      <c r="D13" s="4" t="s">
        <v>920</v>
      </c>
      <c r="E13" s="4" t="s">
        <v>169</v>
      </c>
      <c r="F13" s="5" t="n">
        <v>0.96</v>
      </c>
      <c r="G13" s="5" t="n">
        <v>1.23</v>
      </c>
      <c r="H13" s="15" t="n">
        <f aca="false">IF(OR(F13="",F13=0),"",(G13-F13)/F13)</f>
        <v>0.28125</v>
      </c>
      <c r="I13" s="13" t="n">
        <v>145</v>
      </c>
    </row>
    <row r="14" customFormat="false" ht="21.75" hidden="false" customHeight="true" outlineLevel="0" collapsed="false">
      <c r="B14" s="7" t="s">
        <v>925</v>
      </c>
      <c r="C14" s="7" t="s">
        <v>116</v>
      </c>
      <c r="D14" s="7" t="s">
        <v>920</v>
      </c>
      <c r="E14" s="7" t="s">
        <v>169</v>
      </c>
      <c r="F14" s="8" t="n">
        <v>1.53</v>
      </c>
      <c r="G14" s="8" t="n">
        <v>1.96</v>
      </c>
      <c r="H14" s="16" t="n">
        <f aca="false">IF(OR(F14="",F14=0),"",(G14-F14)/F14)</f>
        <v>0.281045751633987</v>
      </c>
      <c r="I14" s="14" t="n">
        <v>80</v>
      </c>
    </row>
    <row r="15" customFormat="false" ht="21.75" hidden="false" customHeight="true" outlineLevel="0" collapsed="false">
      <c r="B15" s="4" t="s">
        <v>926</v>
      </c>
      <c r="C15" s="4" t="s">
        <v>329</v>
      </c>
      <c r="D15" s="4" t="s">
        <v>69</v>
      </c>
      <c r="E15" s="4" t="s">
        <v>169</v>
      </c>
      <c r="F15" s="5" t="n">
        <v>4.57</v>
      </c>
      <c r="G15" s="5" t="n">
        <v>5.49</v>
      </c>
      <c r="H15" s="15" t="n">
        <f aca="false">IF(OR(F15="",F15=0),"",(G15-F15)/F15)</f>
        <v>0.201312910284464</v>
      </c>
      <c r="I15" s="13" t="n">
        <v>173</v>
      </c>
    </row>
    <row r="16" customFormat="false" ht="21.75" hidden="false" customHeight="true" outlineLevel="0" collapsed="false">
      <c r="B16" s="7" t="s">
        <v>927</v>
      </c>
      <c r="C16" s="7" t="s">
        <v>331</v>
      </c>
      <c r="D16" s="7" t="s">
        <v>69</v>
      </c>
      <c r="E16" s="7" t="s">
        <v>169</v>
      </c>
      <c r="F16" s="8" t="n">
        <v>5.72</v>
      </c>
      <c r="G16" s="8" t="n">
        <v>6.87</v>
      </c>
      <c r="H16" s="16" t="n">
        <f aca="false">IF(OR(F16="",F16=0),"",(G16-F16)/F16)</f>
        <v>0.201048951048951</v>
      </c>
      <c r="I16" s="14" t="n">
        <v>144</v>
      </c>
    </row>
    <row r="17" customFormat="false" ht="21.75" hidden="false" customHeight="true" outlineLevel="0" collapsed="false">
      <c r="B17" s="4" t="s">
        <v>928</v>
      </c>
      <c r="C17" s="4" t="s">
        <v>333</v>
      </c>
      <c r="D17" s="4" t="s">
        <v>69</v>
      </c>
      <c r="E17" s="4" t="s">
        <v>169</v>
      </c>
      <c r="F17" s="5" t="n">
        <v>6.86</v>
      </c>
      <c r="G17" s="5" t="n">
        <v>8.24</v>
      </c>
      <c r="H17" s="15" t="n">
        <f aca="false">IF(OR(F17="",F17=0),"",(G17-F17)/F17)</f>
        <v>0.201166180758017</v>
      </c>
      <c r="I17" s="13" t="n">
        <v>115</v>
      </c>
    </row>
    <row r="18" customFormat="false" ht="21.75" hidden="false" customHeight="true" outlineLevel="0" collapsed="false">
      <c r="B18" s="7" t="s">
        <v>929</v>
      </c>
      <c r="C18" s="7" t="s">
        <v>335</v>
      </c>
      <c r="D18" s="7" t="s">
        <v>69</v>
      </c>
      <c r="E18" s="7" t="s">
        <v>169</v>
      </c>
      <c r="F18" s="8" t="n">
        <v>8</v>
      </c>
      <c r="G18" s="8" t="n">
        <v>9.6</v>
      </c>
      <c r="H18" s="16" t="n">
        <f aca="false">IF(OR(F18="",F18=0),"",(G18-F18)/F18)</f>
        <v>0.2</v>
      </c>
      <c r="I18" s="14" t="n">
        <v>96</v>
      </c>
    </row>
    <row r="19" customFormat="false" ht="21.75" hidden="false" customHeight="true" outlineLevel="0" collapsed="false">
      <c r="B19" s="4" t="s">
        <v>930</v>
      </c>
      <c r="C19" s="4" t="s">
        <v>104</v>
      </c>
      <c r="D19" s="4" t="s">
        <v>920</v>
      </c>
      <c r="E19" s="4" t="s">
        <v>169</v>
      </c>
      <c r="F19" s="5" t="n">
        <v>34.24</v>
      </c>
      <c r="G19" s="5" t="n">
        <v>41.09</v>
      </c>
      <c r="H19" s="15" t="n">
        <f aca="false">IF(OR(F19="",F19=0),"",(G19-F19)/F19)</f>
        <v>0.200058411214953</v>
      </c>
      <c r="I19" s="13" t="n">
        <v>26</v>
      </c>
    </row>
    <row r="20" customFormat="false" ht="21.75" hidden="false" customHeight="true" outlineLevel="0" collapsed="false">
      <c r="B20" s="7" t="s">
        <v>931</v>
      </c>
      <c r="C20" s="7" t="s">
        <v>118</v>
      </c>
      <c r="D20" s="7" t="s">
        <v>920</v>
      </c>
      <c r="E20" s="7" t="s">
        <v>169</v>
      </c>
      <c r="F20" s="8" t="n">
        <v>4.16</v>
      </c>
      <c r="G20" s="8" t="n">
        <v>5</v>
      </c>
      <c r="H20" s="16" t="n">
        <f aca="false">IF(OR(F20="",F20=0),"",(G20-F20)/F20)</f>
        <v>0.201923076923077</v>
      </c>
      <c r="I20" s="14" t="n">
        <v>66</v>
      </c>
    </row>
    <row r="21" customFormat="false" ht="21.75" hidden="false" customHeight="true" outlineLevel="0" collapsed="false">
      <c r="B21" s="4" t="s">
        <v>932</v>
      </c>
      <c r="C21" s="4" t="s">
        <v>120</v>
      </c>
      <c r="D21" s="4" t="s">
        <v>920</v>
      </c>
      <c r="E21" s="4" t="s">
        <v>169</v>
      </c>
      <c r="F21" s="5" t="n">
        <v>5.3</v>
      </c>
      <c r="G21" s="5" t="n">
        <v>6.36</v>
      </c>
      <c r="H21" s="15" t="n">
        <f aca="false">IF(OR(F21="",F21=0),"",(G21-F21)/F21)</f>
        <v>0.2</v>
      </c>
      <c r="I21" s="13" t="n">
        <v>38</v>
      </c>
    </row>
    <row r="22" customFormat="false" ht="21.75" hidden="false" customHeight="true" outlineLevel="0" collapsed="false">
      <c r="B22" s="7" t="s">
        <v>933</v>
      </c>
      <c r="C22" s="7" t="s">
        <v>122</v>
      </c>
      <c r="D22" s="7" t="s">
        <v>920</v>
      </c>
      <c r="E22" s="7" t="s">
        <v>169</v>
      </c>
      <c r="F22" s="8" t="n">
        <v>1.34</v>
      </c>
      <c r="G22" s="8" t="n">
        <v>1.72</v>
      </c>
      <c r="H22" s="16" t="n">
        <f aca="false">IF(OR(F22="",F22=0),"",(G22-F22)/F22)</f>
        <v>0.283582089552239</v>
      </c>
      <c r="I22" s="14" t="n">
        <v>72</v>
      </c>
    </row>
    <row r="23" customFormat="false" ht="21.75" hidden="false" customHeight="true" outlineLevel="0" collapsed="false">
      <c r="B23" s="4" t="s">
        <v>934</v>
      </c>
      <c r="C23" s="4" t="s">
        <v>124</v>
      </c>
      <c r="D23" s="4" t="s">
        <v>920</v>
      </c>
      <c r="E23" s="4" t="s">
        <v>169</v>
      </c>
      <c r="F23" s="5" t="n">
        <v>1.91</v>
      </c>
      <c r="G23" s="5" t="n">
        <v>2.45</v>
      </c>
      <c r="H23" s="15" t="n">
        <f aca="false">IF(OR(F23="",F23=0),"",(G23-F23)/F23)</f>
        <v>0.282722513089005</v>
      </c>
      <c r="I23" s="13" t="n">
        <v>91</v>
      </c>
    </row>
    <row r="24" customFormat="false" ht="21.75" hidden="false" customHeight="true" outlineLevel="0" collapsed="false">
      <c r="B24" s="7" t="s">
        <v>935</v>
      </c>
      <c r="C24" s="7" t="s">
        <v>126</v>
      </c>
      <c r="D24" s="7" t="s">
        <v>920</v>
      </c>
      <c r="E24" s="7" t="s">
        <v>169</v>
      </c>
      <c r="F24" s="8" t="n">
        <v>7.58</v>
      </c>
      <c r="G24" s="8" t="n">
        <v>9.1</v>
      </c>
      <c r="H24" s="16" t="n">
        <f aca="false">IF(OR(F24="",F24=0),"",(G24-F24)/F24)</f>
        <v>0.200527704485488</v>
      </c>
      <c r="I24" s="14" t="n">
        <v>94</v>
      </c>
    </row>
    <row r="25" customFormat="false" ht="21.75" hidden="false" customHeight="true" outlineLevel="0" collapsed="false">
      <c r="B25" s="4" t="s">
        <v>936</v>
      </c>
      <c r="C25" s="4" t="s">
        <v>128</v>
      </c>
      <c r="D25" s="4" t="s">
        <v>920</v>
      </c>
      <c r="E25" s="4" t="s">
        <v>169</v>
      </c>
      <c r="F25" s="5" t="n">
        <v>14.06</v>
      </c>
      <c r="G25" s="5" t="n">
        <v>16.88</v>
      </c>
      <c r="H25" s="15" t="n">
        <f aca="false">IF(OR(F25="",F25=0),"",(G25-F25)/F25)</f>
        <v>0.200568990042674</v>
      </c>
      <c r="I25" s="13" t="n">
        <v>49</v>
      </c>
    </row>
    <row r="26" customFormat="false" ht="21.75" hidden="false" customHeight="true" outlineLevel="0" collapsed="false">
      <c r="B26" s="7" t="s">
        <v>937</v>
      </c>
      <c r="C26" s="7" t="s">
        <v>130</v>
      </c>
      <c r="D26" s="7" t="s">
        <v>920</v>
      </c>
      <c r="E26" s="7" t="s">
        <v>169</v>
      </c>
      <c r="F26" s="8" t="n">
        <v>2.1</v>
      </c>
      <c r="G26" s="8" t="n">
        <v>2.52</v>
      </c>
      <c r="H26" s="16" t="n">
        <f aca="false">IF(OR(F26="",F26=0),"",(G26-F26)/F26)</f>
        <v>0.2</v>
      </c>
      <c r="I26" s="14" t="n">
        <v>89</v>
      </c>
    </row>
    <row r="27" customFormat="false" ht="21.75" hidden="false" customHeight="true" outlineLevel="0" collapsed="false">
      <c r="B27" s="4" t="s">
        <v>938</v>
      </c>
      <c r="C27" s="4" t="s">
        <v>132</v>
      </c>
      <c r="D27" s="4" t="s">
        <v>920</v>
      </c>
      <c r="E27" s="4" t="s">
        <v>169</v>
      </c>
      <c r="F27" s="5" t="n">
        <v>2.29</v>
      </c>
      <c r="G27" s="5" t="n">
        <v>2.75</v>
      </c>
      <c r="H27" s="15" t="n">
        <f aca="false">IF(OR(F27="",F27=0),"",(G27-F27)/F27)</f>
        <v>0.200873362445415</v>
      </c>
      <c r="I27" s="13" t="n">
        <v>89</v>
      </c>
    </row>
    <row r="28" customFormat="false" ht="21.75" hidden="false" customHeight="true" outlineLevel="0" collapsed="false">
      <c r="B28" s="7" t="s">
        <v>939</v>
      </c>
      <c r="C28" s="7" t="s">
        <v>337</v>
      </c>
      <c r="D28" s="7" t="s">
        <v>69</v>
      </c>
      <c r="E28" s="7" t="s">
        <v>169</v>
      </c>
      <c r="F28" s="8" t="n">
        <v>2.48</v>
      </c>
      <c r="G28" s="8" t="n">
        <v>2.98</v>
      </c>
      <c r="H28" s="16" t="n">
        <f aca="false">IF(OR(F28="",F28=0),"",(G28-F28)/F28)</f>
        <v>0.201612903225806</v>
      </c>
      <c r="I28" s="14" t="n">
        <v>315</v>
      </c>
    </row>
    <row r="29" customFormat="false" ht="21.75" hidden="false" customHeight="true" outlineLevel="0" collapsed="false">
      <c r="B29" s="4" t="s">
        <v>940</v>
      </c>
      <c r="C29" s="4" t="s">
        <v>339</v>
      </c>
      <c r="D29" s="4" t="s">
        <v>69</v>
      </c>
      <c r="E29" s="4" t="s">
        <v>169</v>
      </c>
      <c r="F29" s="5" t="n">
        <v>2.86</v>
      </c>
      <c r="G29" s="5" t="n">
        <v>3.44</v>
      </c>
      <c r="H29" s="15" t="n">
        <f aca="false">IF(OR(F29="",F29=0),"",(G29-F29)/F29)</f>
        <v>0.202797202797203</v>
      </c>
      <c r="I29" s="13" t="n">
        <v>266</v>
      </c>
    </row>
    <row r="30" customFormat="false" ht="21.75" hidden="false" customHeight="true" outlineLevel="0" collapsed="false">
      <c r="B30" s="7" t="s">
        <v>941</v>
      </c>
      <c r="C30" s="7" t="s">
        <v>341</v>
      </c>
      <c r="D30" s="7" t="s">
        <v>69</v>
      </c>
      <c r="E30" s="7" t="s">
        <v>169</v>
      </c>
      <c r="F30" s="8" t="n">
        <v>3.43</v>
      </c>
      <c r="G30" s="8" t="n">
        <v>4.12</v>
      </c>
      <c r="H30" s="16" t="n">
        <f aca="false">IF(OR(F30="",F30=0),"",(G30-F30)/F30)</f>
        <v>0.201166180758017</v>
      </c>
      <c r="I30" s="14" t="n">
        <v>230</v>
      </c>
    </row>
    <row r="31" customFormat="false" ht="21.75" hidden="false" customHeight="true" outlineLevel="0" collapsed="false">
      <c r="B31" s="4" t="s">
        <v>942</v>
      </c>
      <c r="C31" s="4" t="s">
        <v>943</v>
      </c>
      <c r="D31" s="4" t="s">
        <v>69</v>
      </c>
      <c r="E31" s="4" t="s">
        <v>169</v>
      </c>
      <c r="F31" s="5" t="n">
        <v>7.24</v>
      </c>
      <c r="G31" s="5" t="n">
        <v>8.69</v>
      </c>
      <c r="H31" s="15" t="n">
        <f aca="false">IF(OR(F31="",F31=0),"",(G31-F31)/F31)</f>
        <v>0.200276243093923</v>
      </c>
      <c r="I31" s="13" t="n">
        <v>0</v>
      </c>
    </row>
    <row r="32" customFormat="false" ht="21.75" hidden="false" customHeight="true" outlineLevel="0" collapsed="false">
      <c r="B32" s="7" t="s">
        <v>944</v>
      </c>
      <c r="C32" s="7" t="s">
        <v>943</v>
      </c>
      <c r="D32" s="7" t="s">
        <v>69</v>
      </c>
      <c r="E32" s="7" t="s">
        <v>169</v>
      </c>
      <c r="F32" s="8" t="n">
        <v>7.31</v>
      </c>
      <c r="G32" s="8" t="n">
        <v>8.78</v>
      </c>
      <c r="H32" s="16" t="n">
        <f aca="false">IF(OR(F32="",F32=0),"",(G32-F32)/F32)</f>
        <v>0.20109439124487</v>
      </c>
      <c r="I32" s="14" t="n">
        <v>0</v>
      </c>
    </row>
    <row r="33" customFormat="false" ht="21.75" hidden="false" customHeight="true" outlineLevel="0" collapsed="false">
      <c r="B33" s="4" t="s">
        <v>945</v>
      </c>
      <c r="C33" s="4" t="s">
        <v>431</v>
      </c>
      <c r="D33" s="4" t="s">
        <v>69</v>
      </c>
      <c r="E33" s="4" t="s">
        <v>169</v>
      </c>
      <c r="F33" s="5" t="n">
        <v>1.34</v>
      </c>
      <c r="G33" s="5" t="n">
        <v>1.72</v>
      </c>
      <c r="H33" s="15" t="n">
        <f aca="false">IF(OR(F33="",F33=0),"",(G33-F33)/F33)</f>
        <v>0.283582089552239</v>
      </c>
      <c r="I33" s="13" t="n">
        <v>3</v>
      </c>
    </row>
    <row r="34" customFormat="false" ht="21.75" hidden="false" customHeight="true" outlineLevel="0" collapsed="false">
      <c r="B34" s="7" t="s">
        <v>946</v>
      </c>
      <c r="C34" s="7" t="s">
        <v>601</v>
      </c>
      <c r="D34" s="7" t="s">
        <v>69</v>
      </c>
      <c r="E34" s="7" t="s">
        <v>169</v>
      </c>
      <c r="F34" s="8" t="n">
        <v>0.58</v>
      </c>
      <c r="G34" s="8" t="n">
        <v>0.75</v>
      </c>
      <c r="H34" s="16" t="n">
        <f aca="false">IF(OR(F34="",F34=0),"",(G34-F34)/F34)</f>
        <v>0.293103448275862</v>
      </c>
      <c r="I34" s="14" t="n">
        <v>4</v>
      </c>
    </row>
    <row r="35" customFormat="false" ht="21.75" hidden="false" customHeight="true" outlineLevel="0" collapsed="false">
      <c r="B35" s="4" t="s">
        <v>947</v>
      </c>
      <c r="C35" s="4" t="s">
        <v>251</v>
      </c>
      <c r="D35" s="4" t="s">
        <v>69</v>
      </c>
      <c r="E35" s="4" t="s">
        <v>169</v>
      </c>
      <c r="F35" s="5" t="n">
        <v>11.43</v>
      </c>
      <c r="G35" s="5" t="n">
        <v>13.72</v>
      </c>
      <c r="H35" s="15" t="n">
        <f aca="false">IF(OR(F35="",F35=0),"",(G35-F35)/F35)</f>
        <v>0.200349956255468</v>
      </c>
      <c r="I35" s="13" t="n">
        <v>10</v>
      </c>
    </row>
    <row r="36" customFormat="false" ht="21.75" hidden="false" customHeight="true" outlineLevel="0" collapsed="false">
      <c r="B36" s="7" t="s">
        <v>948</v>
      </c>
      <c r="C36" s="7" t="s">
        <v>949</v>
      </c>
      <c r="D36" s="7" t="s">
        <v>69</v>
      </c>
      <c r="E36" s="7" t="s">
        <v>169</v>
      </c>
      <c r="F36" s="8" t="n">
        <v>14.48</v>
      </c>
      <c r="G36" s="8" t="n">
        <v>17.38</v>
      </c>
      <c r="H36" s="16" t="n">
        <f aca="false">IF(OR(F36="",F36=0),"",(G36-F36)/F36)</f>
        <v>0.200276243093923</v>
      </c>
      <c r="I36" s="14" t="n">
        <v>3</v>
      </c>
    </row>
    <row r="37" customFormat="false" ht="21.75" hidden="false" customHeight="true" outlineLevel="0" collapsed="false">
      <c r="B37" s="4" t="s">
        <v>950</v>
      </c>
      <c r="C37" s="4" t="s">
        <v>951</v>
      </c>
      <c r="D37" s="4" t="s">
        <v>69</v>
      </c>
      <c r="E37" s="4" t="s">
        <v>169</v>
      </c>
      <c r="F37" s="5" t="n">
        <v>4.19</v>
      </c>
      <c r="G37" s="5" t="n">
        <v>5.03</v>
      </c>
      <c r="H37" s="15" t="n">
        <f aca="false">IF(OR(F37="",F37=0),"",(G37-F37)/F37)</f>
        <v>0.200477326968974</v>
      </c>
      <c r="I37" s="13" t="n">
        <v>8</v>
      </c>
    </row>
    <row r="38" customFormat="false" ht="21.75" hidden="false" customHeight="true" outlineLevel="0" collapsed="false">
      <c r="B38" s="7" t="s">
        <v>952</v>
      </c>
      <c r="C38" s="7" t="s">
        <v>468</v>
      </c>
      <c r="D38" s="7" t="s">
        <v>920</v>
      </c>
      <c r="E38" s="7" t="s">
        <v>169</v>
      </c>
      <c r="F38" s="8" t="n">
        <v>1.72</v>
      </c>
      <c r="G38" s="8" t="n">
        <v>2.21</v>
      </c>
      <c r="H38" s="16" t="n">
        <f aca="false">IF(OR(F38="",F38=0),"",(G38-F38)/F38)</f>
        <v>0.284883720930233</v>
      </c>
      <c r="I38" s="14" t="n">
        <v>5</v>
      </c>
    </row>
    <row r="39" customFormat="false" ht="21.75" hidden="false" customHeight="true" outlineLevel="0" collapsed="false">
      <c r="B39" s="4" t="s">
        <v>474</v>
      </c>
      <c r="C39" s="4" t="s">
        <v>475</v>
      </c>
      <c r="D39" s="4" t="s">
        <v>920</v>
      </c>
      <c r="E39" s="4" t="s">
        <v>202</v>
      </c>
      <c r="F39" s="5" t="n">
        <v>0.5</v>
      </c>
      <c r="G39" s="5" t="n">
        <v>0.64</v>
      </c>
      <c r="H39" s="15" t="n">
        <f aca="false">IF(OR(F39="",F39=0),"",(G39-F39)/F39)</f>
        <v>0.28</v>
      </c>
      <c r="I39" s="13" t="n">
        <v>92</v>
      </c>
    </row>
    <row r="40" customFormat="false" ht="21.75" hidden="false" customHeight="true" outlineLevel="0" collapsed="false">
      <c r="B40" s="7" t="s">
        <v>471</v>
      </c>
      <c r="C40" s="7" t="s">
        <v>472</v>
      </c>
      <c r="D40" s="7" t="s">
        <v>920</v>
      </c>
      <c r="E40" s="7" t="s">
        <v>169</v>
      </c>
      <c r="F40" s="8" t="n">
        <v>0.35</v>
      </c>
      <c r="G40" s="8" t="n">
        <v>0.89</v>
      </c>
      <c r="H40" s="16" t="n">
        <f aca="false">IF(OR(F40="",F40=0),"",(G40-F40)/F40)</f>
        <v>1.54285714285714</v>
      </c>
      <c r="I40" s="14" t="n">
        <v>133</v>
      </c>
    </row>
    <row r="41" customFormat="false" ht="21.75" hidden="false" customHeight="true" outlineLevel="0" collapsed="false">
      <c r="B41" s="4" t="s">
        <v>953</v>
      </c>
      <c r="C41" s="4" t="s">
        <v>954</v>
      </c>
      <c r="D41" s="4" t="s">
        <v>920</v>
      </c>
      <c r="E41" s="4" t="s">
        <v>169</v>
      </c>
      <c r="F41" s="5" t="n">
        <v>5.68</v>
      </c>
      <c r="G41" s="5" t="n">
        <v>6.82</v>
      </c>
      <c r="H41" s="15" t="n">
        <f aca="false">IF(OR(F41="",F41=0),"",(G41-F41)/F41)</f>
        <v>0.200704225352113</v>
      </c>
      <c r="I41" s="13" t="n">
        <v>0</v>
      </c>
    </row>
    <row r="42" customFormat="false" ht="21.75" hidden="false" customHeight="true" outlineLevel="0" collapsed="false">
      <c r="B42" s="7" t="s">
        <v>955</v>
      </c>
      <c r="C42" s="7" t="s">
        <v>478</v>
      </c>
      <c r="D42" s="7" t="s">
        <v>920</v>
      </c>
      <c r="E42" s="7" t="s">
        <v>169</v>
      </c>
      <c r="F42" s="8" t="n">
        <v>13.52</v>
      </c>
      <c r="G42" s="8" t="n">
        <v>16.23</v>
      </c>
      <c r="H42" s="16" t="n">
        <f aca="false">IF(OR(F42="",F42=0),"",(G42-F42)/F42)</f>
        <v>0.200443786982249</v>
      </c>
      <c r="I42" s="14" t="n">
        <v>121</v>
      </c>
    </row>
    <row r="43" customFormat="false" ht="21.75" hidden="false" customHeight="true" outlineLevel="0" collapsed="false">
      <c r="B43" s="4" t="s">
        <v>956</v>
      </c>
      <c r="C43" s="4" t="s">
        <v>481</v>
      </c>
      <c r="D43" s="4" t="s">
        <v>920</v>
      </c>
      <c r="E43" s="4" t="s">
        <v>169</v>
      </c>
      <c r="F43" s="5" t="n">
        <v>5.72</v>
      </c>
      <c r="G43" s="5" t="n">
        <v>6.87</v>
      </c>
      <c r="H43" s="15" t="n">
        <f aca="false">IF(OR(F43="",F43=0),"",(G43-F43)/F43)</f>
        <v>0.201048951048951</v>
      </c>
      <c r="I43" s="13" t="n">
        <v>0</v>
      </c>
    </row>
    <row r="44" customFormat="false" ht="21.75" hidden="false" customHeight="true" outlineLevel="0" collapsed="false">
      <c r="B44" s="7" t="s">
        <v>746</v>
      </c>
      <c r="C44" s="7" t="s">
        <v>747</v>
      </c>
      <c r="D44" s="7" t="s">
        <v>957</v>
      </c>
      <c r="E44" s="7" t="s">
        <v>202</v>
      </c>
      <c r="F44" s="8" t="n">
        <v>2</v>
      </c>
      <c r="G44" s="8" t="n">
        <v>2.35</v>
      </c>
      <c r="H44" s="16" t="n">
        <f aca="false">IF(OR(F44="",F44=0),"",(G44-F44)/F44)</f>
        <v>0.175</v>
      </c>
      <c r="I44" s="14" t="n">
        <v>24</v>
      </c>
    </row>
    <row r="45" customFormat="false" ht="21.75" hidden="false" customHeight="true" outlineLevel="0" collapsed="false">
      <c r="B45" s="4" t="s">
        <v>958</v>
      </c>
      <c r="C45" s="4" t="s">
        <v>959</v>
      </c>
      <c r="D45" s="4" t="s">
        <v>918</v>
      </c>
      <c r="E45" s="4" t="s">
        <v>169</v>
      </c>
      <c r="F45" s="5" t="n">
        <v>4.57</v>
      </c>
      <c r="G45" s="5" t="n">
        <v>5.49</v>
      </c>
      <c r="H45" s="15" t="n">
        <f aca="false">IF(OR(F45="",F45=0),"",(G45-F45)/F45)</f>
        <v>0.201312910284464</v>
      </c>
      <c r="I45" s="13" t="n">
        <v>51</v>
      </c>
    </row>
    <row r="46" customFormat="false" ht="21.75" hidden="false" customHeight="true" outlineLevel="0" collapsed="false">
      <c r="B46" s="7" t="s">
        <v>960</v>
      </c>
      <c r="C46" s="7" t="s">
        <v>961</v>
      </c>
      <c r="D46" s="7" t="s">
        <v>918</v>
      </c>
      <c r="E46" s="7" t="s">
        <v>169</v>
      </c>
      <c r="F46" s="8" t="n">
        <v>6.44</v>
      </c>
      <c r="G46" s="8" t="n">
        <v>7.73</v>
      </c>
      <c r="H46" s="16" t="n">
        <f aca="false">IF(OR(F46="",F46=0),"",(G46-F46)/F46)</f>
        <v>0.200310559006211</v>
      </c>
      <c r="I46" s="14" t="n">
        <v>17</v>
      </c>
    </row>
    <row r="47" customFormat="false" ht="21.75" hidden="false" customHeight="true" outlineLevel="0" collapsed="false">
      <c r="B47" s="4" t="s">
        <v>962</v>
      </c>
      <c r="C47" s="4" t="s">
        <v>963</v>
      </c>
      <c r="D47" s="4" t="s">
        <v>918</v>
      </c>
      <c r="E47" s="4" t="s">
        <v>169</v>
      </c>
      <c r="F47" s="5" t="n">
        <v>7.58</v>
      </c>
      <c r="G47" s="5" t="n">
        <v>9.1</v>
      </c>
      <c r="H47" s="15" t="n">
        <f aca="false">IF(OR(F47="",F47=0),"",(G47-F47)/F47)</f>
        <v>0.200527704485488</v>
      </c>
      <c r="I47" s="13" t="n">
        <v>17</v>
      </c>
    </row>
    <row r="48" customFormat="false" ht="21.75" hidden="false" customHeight="true" outlineLevel="0" collapsed="false">
      <c r="B48" s="7" t="s">
        <v>964</v>
      </c>
      <c r="C48" s="7" t="s">
        <v>965</v>
      </c>
      <c r="D48" s="7" t="s">
        <v>918</v>
      </c>
      <c r="E48" s="7" t="s">
        <v>169</v>
      </c>
      <c r="F48" s="8" t="n">
        <v>1.15</v>
      </c>
      <c r="G48" s="8" t="n">
        <v>1.48</v>
      </c>
      <c r="H48" s="16" t="n">
        <f aca="false">IF(OR(F48="",F48=0),"",(G48-F48)/F48)</f>
        <v>0.286956521739131</v>
      </c>
      <c r="I48" s="14" t="n">
        <v>90</v>
      </c>
    </row>
    <row r="49" customFormat="false" ht="21.75" hidden="false" customHeight="true" outlineLevel="0" collapsed="false">
      <c r="B49" s="4" t="s">
        <v>966</v>
      </c>
      <c r="C49" s="4" t="s">
        <v>967</v>
      </c>
      <c r="D49" s="4" t="s">
        <v>918</v>
      </c>
      <c r="E49" s="4" t="s">
        <v>169</v>
      </c>
      <c r="F49" s="5" t="n">
        <v>7.58</v>
      </c>
      <c r="G49" s="5" t="n">
        <v>9.1</v>
      </c>
      <c r="H49" s="15" t="n">
        <f aca="false">IF(OR(F49="",F49=0),"",(G49-F49)/F49)</f>
        <v>0.200527704485488</v>
      </c>
      <c r="I49" s="13" t="n">
        <v>2</v>
      </c>
    </row>
    <row r="50" customFormat="false" ht="21.75" hidden="false" customHeight="true" outlineLevel="0" collapsed="false">
      <c r="B50" s="7" t="s">
        <v>968</v>
      </c>
      <c r="C50" s="7" t="s">
        <v>969</v>
      </c>
      <c r="D50" s="7" t="s">
        <v>918</v>
      </c>
      <c r="E50" s="7" t="s">
        <v>169</v>
      </c>
      <c r="F50" s="8" t="n">
        <v>3.24</v>
      </c>
      <c r="G50" s="8" t="n">
        <v>3.89</v>
      </c>
      <c r="H50" s="16" t="n">
        <f aca="false">IF(OR(F50="",F50=0),"",(G50-F50)/F50)</f>
        <v>0.200617283950617</v>
      </c>
      <c r="I50" s="14" t="n">
        <v>30</v>
      </c>
    </row>
    <row r="51" customFormat="false" ht="21.75" hidden="false" customHeight="true" outlineLevel="0" collapsed="false">
      <c r="B51" s="4" t="s">
        <v>970</v>
      </c>
      <c r="C51" s="4" t="s">
        <v>190</v>
      </c>
      <c r="D51" s="4" t="s">
        <v>920</v>
      </c>
      <c r="E51" s="4" t="s">
        <v>169</v>
      </c>
      <c r="F51" s="5" t="n">
        <v>8.34</v>
      </c>
      <c r="G51" s="5" t="n">
        <v>10.01</v>
      </c>
      <c r="H51" s="15" t="n">
        <f aca="false">IF(OR(F51="",F51=0),"",(G51-F51)/F51)</f>
        <v>0.200239808153477</v>
      </c>
      <c r="I51" s="13" t="n">
        <v>2</v>
      </c>
    </row>
    <row r="52" customFormat="false" ht="21.75" hidden="false" customHeight="true" outlineLevel="0" collapsed="false">
      <c r="B52" s="7" t="s">
        <v>971</v>
      </c>
      <c r="C52" s="7" t="s">
        <v>194</v>
      </c>
      <c r="D52" s="7" t="s">
        <v>920</v>
      </c>
      <c r="E52" s="7" t="s">
        <v>169</v>
      </c>
      <c r="F52" s="8" t="n">
        <v>11.77</v>
      </c>
      <c r="G52" s="8" t="n">
        <v>14.13</v>
      </c>
      <c r="H52" s="16" t="n">
        <f aca="false">IF(OR(F52="",F52=0),"",(G52-F52)/F52)</f>
        <v>0.200509770603229</v>
      </c>
      <c r="I52" s="14" t="n">
        <v>1</v>
      </c>
    </row>
    <row r="53" customFormat="false" ht="21.75" hidden="false" customHeight="true" outlineLevel="0" collapsed="false">
      <c r="B53" s="4" t="s">
        <v>972</v>
      </c>
      <c r="C53" s="4" t="s">
        <v>197</v>
      </c>
      <c r="D53" s="4" t="s">
        <v>920</v>
      </c>
      <c r="E53" s="4" t="s">
        <v>169</v>
      </c>
      <c r="F53" s="5" t="n">
        <v>11.77</v>
      </c>
      <c r="G53" s="5" t="n">
        <v>14.13</v>
      </c>
      <c r="H53" s="15" t="n">
        <f aca="false">IF(OR(F53="",F53=0),"",(G53-F53)/F53)</f>
        <v>0.200509770603229</v>
      </c>
      <c r="I53" s="13" t="n">
        <v>1</v>
      </c>
    </row>
    <row r="54" customFormat="false" ht="21.75" hidden="false" customHeight="true" outlineLevel="0" collapsed="false">
      <c r="B54" s="7" t="s">
        <v>973</v>
      </c>
      <c r="C54" s="7" t="s">
        <v>974</v>
      </c>
      <c r="D54" s="7" t="s">
        <v>69</v>
      </c>
      <c r="E54" s="7" t="s">
        <v>169</v>
      </c>
      <c r="F54" s="8" t="n">
        <v>2.91</v>
      </c>
      <c r="G54" s="8" t="n">
        <v>3.5</v>
      </c>
      <c r="H54" s="16" t="n">
        <f aca="false">IF(OR(F54="",F54=0),"",(G54-F54)/F54)</f>
        <v>0.202749140893471</v>
      </c>
      <c r="I54" s="14" t="n">
        <v>0</v>
      </c>
    </row>
    <row r="55" customFormat="false" ht="21.75" hidden="false" customHeight="true" outlineLevel="0" collapsed="false">
      <c r="B55" s="4" t="s">
        <v>975</v>
      </c>
      <c r="C55" s="4" t="s">
        <v>642</v>
      </c>
      <c r="D55" s="4" t="s">
        <v>918</v>
      </c>
      <c r="E55" s="4" t="s">
        <v>169</v>
      </c>
      <c r="F55" s="5" t="n">
        <v>1.34</v>
      </c>
      <c r="G55" s="5" t="n">
        <v>1.72</v>
      </c>
      <c r="H55" s="15" t="n">
        <f aca="false">IF(OR(F55="",F55=0),"",(G55-F55)/F55)</f>
        <v>0.283582089552239</v>
      </c>
      <c r="I55" s="13" t="n">
        <v>22</v>
      </c>
    </row>
    <row r="56" customFormat="false" ht="21.75" hidden="false" customHeight="true" outlineLevel="0" collapsed="false">
      <c r="B56" s="7" t="s">
        <v>976</v>
      </c>
      <c r="C56" s="7" t="s">
        <v>711</v>
      </c>
      <c r="D56" s="7" t="s">
        <v>918</v>
      </c>
      <c r="E56" s="7" t="s">
        <v>169</v>
      </c>
      <c r="F56" s="8" t="n">
        <v>1.72</v>
      </c>
      <c r="G56" s="8" t="n">
        <v>2.21</v>
      </c>
      <c r="H56" s="16" t="n">
        <f aca="false">IF(OR(F56="",F56=0),"",(G56-F56)/F56)</f>
        <v>0.284883720930233</v>
      </c>
      <c r="I56" s="14" t="n">
        <v>0</v>
      </c>
    </row>
    <row r="57" customFormat="false" ht="21.75" hidden="false" customHeight="true" outlineLevel="0" collapsed="false">
      <c r="B57" s="4" t="s">
        <v>977</v>
      </c>
      <c r="C57" s="4" t="s">
        <v>772</v>
      </c>
      <c r="D57" s="4" t="s">
        <v>69</v>
      </c>
      <c r="E57" s="4" t="s">
        <v>169</v>
      </c>
      <c r="F57" s="5" t="n">
        <v>2.1</v>
      </c>
      <c r="G57" s="5" t="n">
        <v>2.52</v>
      </c>
      <c r="H57" s="15" t="n">
        <f aca="false">IF(OR(F57="",F57=0),"",(G57-F57)/F57)</f>
        <v>0.2</v>
      </c>
      <c r="I57" s="13" t="n">
        <v>14</v>
      </c>
    </row>
    <row r="58" customFormat="false" ht="21.75" hidden="false" customHeight="true" outlineLevel="0" collapsed="false">
      <c r="B58" s="7" t="s">
        <v>775</v>
      </c>
      <c r="C58" s="7" t="s">
        <v>776</v>
      </c>
      <c r="D58" s="7" t="s">
        <v>69</v>
      </c>
      <c r="E58" s="7" t="s">
        <v>202</v>
      </c>
      <c r="F58" s="8" t="n">
        <v>1</v>
      </c>
      <c r="G58" s="8" t="n">
        <v>2.35</v>
      </c>
      <c r="H58" s="16" t="n">
        <f aca="false">IF(OR(F58="",F58=0),"",(G58-F58)/F58)</f>
        <v>1.35</v>
      </c>
      <c r="I58" s="14" t="n">
        <v>151</v>
      </c>
    </row>
    <row r="59" customFormat="false" ht="21.75" hidden="false" customHeight="true" outlineLevel="0" collapsed="false">
      <c r="B59" s="4" t="s">
        <v>978</v>
      </c>
      <c r="C59" s="4" t="s">
        <v>737</v>
      </c>
      <c r="D59" s="4" t="s">
        <v>69</v>
      </c>
      <c r="E59" s="4" t="s">
        <v>169</v>
      </c>
      <c r="F59" s="5" t="n">
        <v>3.01</v>
      </c>
      <c r="G59" s="5" t="n">
        <v>3.62</v>
      </c>
      <c r="H59" s="15" t="n">
        <f aca="false">IF(OR(F59="",F59=0),"",(G59-F59)/F59)</f>
        <v>0.20265780730897</v>
      </c>
      <c r="I59" s="13" t="n">
        <v>349</v>
      </c>
    </row>
    <row r="60" customFormat="false" ht="21.75" hidden="false" customHeight="true" outlineLevel="0" collapsed="false">
      <c r="B60" s="7" t="s">
        <v>979</v>
      </c>
      <c r="C60" s="7" t="s">
        <v>741</v>
      </c>
      <c r="D60" s="7" t="s">
        <v>69</v>
      </c>
      <c r="E60" s="7" t="s">
        <v>169</v>
      </c>
      <c r="F60" s="8" t="n">
        <v>1.87</v>
      </c>
      <c r="G60" s="8" t="n">
        <v>2.4</v>
      </c>
      <c r="H60" s="16" t="n">
        <f aca="false">IF(OR(F60="",F60=0),"",(G60-F60)/F60)</f>
        <v>0.283422459893048</v>
      </c>
      <c r="I60" s="14" t="n">
        <v>174</v>
      </c>
    </row>
    <row r="61" customFormat="false" ht="21.75" hidden="false" customHeight="true" outlineLevel="0" collapsed="false">
      <c r="B61" s="4" t="s">
        <v>980</v>
      </c>
      <c r="C61" s="4" t="s">
        <v>744</v>
      </c>
      <c r="D61" s="4" t="s">
        <v>69</v>
      </c>
      <c r="E61" s="4" t="s">
        <v>169</v>
      </c>
      <c r="F61" s="5" t="n">
        <v>4.23</v>
      </c>
      <c r="G61" s="5" t="n">
        <v>5.08</v>
      </c>
      <c r="H61" s="15" t="n">
        <f aca="false">IF(OR(F61="",F61=0),"",(G61-F61)/F61)</f>
        <v>0.200945626477541</v>
      </c>
      <c r="I61" s="13" t="n">
        <v>215</v>
      </c>
    </row>
    <row r="62" customFormat="false" ht="21.75" hidden="false" customHeight="true" outlineLevel="0" collapsed="false">
      <c r="B62" s="7" t="s">
        <v>604</v>
      </c>
      <c r="C62" s="7" t="s">
        <v>605</v>
      </c>
      <c r="D62" s="7" t="s">
        <v>957</v>
      </c>
      <c r="E62" s="7" t="s">
        <v>169</v>
      </c>
      <c r="F62" s="8" t="n">
        <v>0.8</v>
      </c>
      <c r="G62" s="8" t="n">
        <v>0.99</v>
      </c>
      <c r="H62" s="16" t="n">
        <f aca="false">IF(OR(F62="",F62=0),"",(G62-F62)/F62)</f>
        <v>0.2375</v>
      </c>
      <c r="I62" s="14" t="n">
        <v>68</v>
      </c>
    </row>
    <row r="63" customFormat="false" ht="21.75" hidden="false" customHeight="true" outlineLevel="0" collapsed="false">
      <c r="B63" s="4" t="s">
        <v>981</v>
      </c>
      <c r="C63" s="4" t="s">
        <v>982</v>
      </c>
      <c r="D63" s="4" t="s">
        <v>918</v>
      </c>
      <c r="E63" s="4" t="s">
        <v>202</v>
      </c>
      <c r="F63" s="5" t="n">
        <v>4</v>
      </c>
      <c r="G63" s="5" t="n">
        <v>4.8</v>
      </c>
      <c r="H63" s="15" t="n">
        <f aca="false">IF(OR(F63="",F63=0),"",(G63-F63)/F63)</f>
        <v>0.2</v>
      </c>
      <c r="I63" s="13" t="n">
        <v>0</v>
      </c>
    </row>
    <row r="64" customFormat="false" ht="21.75" hidden="false" customHeight="true" outlineLevel="0" collapsed="false">
      <c r="B64" s="7" t="s">
        <v>457</v>
      </c>
      <c r="C64" s="7" t="s">
        <v>458</v>
      </c>
      <c r="D64" s="7" t="s">
        <v>920</v>
      </c>
      <c r="E64" s="7" t="s">
        <v>169</v>
      </c>
      <c r="F64" s="8" t="n">
        <v>0.6</v>
      </c>
      <c r="G64" s="8" t="n">
        <v>0.77</v>
      </c>
      <c r="H64" s="16" t="n">
        <f aca="false">IF(OR(F64="",F64=0),"",(G64-F64)/F64)</f>
        <v>0.283333333333333</v>
      </c>
      <c r="I64" s="14" t="n">
        <v>6</v>
      </c>
    </row>
    <row r="65" customFormat="false" ht="21.75" hidden="false" customHeight="true" outlineLevel="0" collapsed="false">
      <c r="B65" s="4" t="s">
        <v>461</v>
      </c>
      <c r="C65" s="4" t="s">
        <v>462</v>
      </c>
      <c r="D65" s="4" t="s">
        <v>920</v>
      </c>
      <c r="E65" s="4" t="s">
        <v>169</v>
      </c>
      <c r="F65" s="5" t="n">
        <v>4.4</v>
      </c>
      <c r="G65" s="5" t="n">
        <v>5.28</v>
      </c>
      <c r="H65" s="15" t="n">
        <f aca="false">IF(OR(F65="",F65=0),"",(G65-F65)/F65)</f>
        <v>0.2</v>
      </c>
      <c r="I65" s="13" t="n">
        <v>22</v>
      </c>
    </row>
    <row r="66" customFormat="false" ht="21.75" hidden="false" customHeight="true" outlineLevel="0" collapsed="false">
      <c r="B66" s="7" t="s">
        <v>166</v>
      </c>
      <c r="C66" s="7" t="s">
        <v>167</v>
      </c>
      <c r="D66" s="7" t="s">
        <v>920</v>
      </c>
      <c r="E66" s="7" t="s">
        <v>169</v>
      </c>
      <c r="F66" s="8" t="n">
        <v>1.25</v>
      </c>
      <c r="G66" s="8" t="n">
        <v>1.6</v>
      </c>
      <c r="H66" s="16" t="n">
        <f aca="false">IF(OR(F66="",F66=0),"",(G66-F66)/F66)</f>
        <v>0.28</v>
      </c>
      <c r="I66" s="14" t="n">
        <v>228</v>
      </c>
    </row>
    <row r="67" customFormat="false" ht="21.75" hidden="false" customHeight="true" outlineLevel="0" collapsed="false">
      <c r="B67" s="4" t="s">
        <v>171</v>
      </c>
      <c r="C67" s="4" t="s">
        <v>172</v>
      </c>
      <c r="D67" s="4" t="s">
        <v>920</v>
      </c>
      <c r="E67" s="4" t="s">
        <v>169</v>
      </c>
      <c r="F67" s="5" t="n">
        <v>1.6</v>
      </c>
      <c r="G67" s="5" t="n">
        <v>2.05</v>
      </c>
      <c r="H67" s="15" t="n">
        <f aca="false">IF(OR(F67="",F67=0),"",(G67-F67)/F67)</f>
        <v>0.28125</v>
      </c>
      <c r="I67" s="13" t="n">
        <v>13</v>
      </c>
    </row>
    <row r="68" customFormat="false" ht="21.75" hidden="false" customHeight="true" outlineLevel="0" collapsed="false">
      <c r="B68" s="7" t="s">
        <v>180</v>
      </c>
      <c r="C68" s="7" t="s">
        <v>181</v>
      </c>
      <c r="D68" s="7" t="s">
        <v>920</v>
      </c>
      <c r="E68" s="7" t="s">
        <v>169</v>
      </c>
      <c r="F68" s="8" t="n">
        <v>8.5</v>
      </c>
      <c r="G68" s="8" t="n">
        <v>9.99</v>
      </c>
      <c r="H68" s="16" t="n">
        <f aca="false">IF(OR(F68="",F68=0),"",(G68-F68)/F68)</f>
        <v>0.175294117647059</v>
      </c>
      <c r="I68" s="14" t="n">
        <v>12</v>
      </c>
    </row>
    <row r="69" customFormat="false" ht="21.75" hidden="false" customHeight="true" outlineLevel="0" collapsed="false">
      <c r="B69" s="4" t="s">
        <v>983</v>
      </c>
      <c r="C69" s="4" t="s">
        <v>184</v>
      </c>
      <c r="D69" s="4" t="s">
        <v>920</v>
      </c>
      <c r="E69" s="4" t="s">
        <v>169</v>
      </c>
      <c r="F69" s="5" t="n">
        <v>0.04</v>
      </c>
      <c r="G69" s="5" t="n">
        <v>0.06</v>
      </c>
      <c r="H69" s="15" t="n">
        <f aca="false">IF(OR(F69="",F69=0),"",(G69-F69)/F69)</f>
        <v>0.5</v>
      </c>
      <c r="I69" s="13" t="n">
        <v>726</v>
      </c>
    </row>
    <row r="70" customFormat="false" ht="21.75" hidden="false" customHeight="true" outlineLevel="0" collapsed="false">
      <c r="B70" s="7" t="s">
        <v>186</v>
      </c>
      <c r="C70" s="7" t="s">
        <v>187</v>
      </c>
      <c r="D70" s="7" t="s">
        <v>920</v>
      </c>
      <c r="E70" s="7" t="s">
        <v>169</v>
      </c>
      <c r="F70" s="8" t="n">
        <v>0.13</v>
      </c>
      <c r="G70" s="8" t="n">
        <v>0.2</v>
      </c>
      <c r="H70" s="16" t="n">
        <f aca="false">IF(OR(F70="",F70=0),"",(G70-F70)/F70)</f>
        <v>0.538461538461539</v>
      </c>
      <c r="I70" s="14" t="n">
        <v>115</v>
      </c>
    </row>
    <row r="71" customFormat="false" ht="21.75" hidden="false" customHeight="true" outlineLevel="0" collapsed="false">
      <c r="B71" s="4" t="s">
        <v>984</v>
      </c>
      <c r="C71" s="4" t="s">
        <v>985</v>
      </c>
      <c r="D71" s="4" t="s">
        <v>69</v>
      </c>
      <c r="E71" s="4" t="s">
        <v>169</v>
      </c>
      <c r="F71" s="5" t="n">
        <v>13.5</v>
      </c>
      <c r="G71" s="5" t="n">
        <v>16.2</v>
      </c>
      <c r="H71" s="15" t="n">
        <f aca="false">IF(OR(F71="",F71=0),"",(G71-F71)/F71)</f>
        <v>0.2</v>
      </c>
      <c r="I71" s="13" t="n">
        <v>0</v>
      </c>
    </row>
    <row r="72" customFormat="false" ht="21.75" hidden="false" customHeight="true" outlineLevel="0" collapsed="false">
      <c r="B72" s="7" t="s">
        <v>986</v>
      </c>
      <c r="C72" s="7" t="s">
        <v>987</v>
      </c>
      <c r="D72" s="7" t="s">
        <v>69</v>
      </c>
      <c r="E72" s="7" t="s">
        <v>169</v>
      </c>
      <c r="F72" s="8" t="n">
        <v>3.85</v>
      </c>
      <c r="G72" s="8" t="n">
        <v>4.62</v>
      </c>
      <c r="H72" s="16" t="n">
        <f aca="false">IF(OR(F72="",F72=0),"",(G72-F72)/F72)</f>
        <v>0.2</v>
      </c>
      <c r="I72" s="14" t="n">
        <v>0</v>
      </c>
    </row>
    <row r="73" customFormat="false" ht="21.75" hidden="false" customHeight="true" outlineLevel="0" collapsed="false">
      <c r="B73" s="4" t="s">
        <v>988</v>
      </c>
      <c r="C73" s="4" t="s">
        <v>989</v>
      </c>
      <c r="D73" s="4" t="s">
        <v>69</v>
      </c>
      <c r="E73" s="4" t="s">
        <v>169</v>
      </c>
      <c r="F73" s="5" t="n">
        <v>5.97</v>
      </c>
      <c r="G73" s="5" t="n">
        <v>7.17</v>
      </c>
      <c r="H73" s="15" t="n">
        <f aca="false">IF(OR(F73="",F73=0),"",(G73-F73)/F73)</f>
        <v>0.201005025125628</v>
      </c>
      <c r="I73" s="13" t="n">
        <v>0</v>
      </c>
    </row>
    <row r="74" customFormat="false" ht="21.75" hidden="false" customHeight="true" outlineLevel="0" collapsed="false">
      <c r="B74" s="7" t="s">
        <v>990</v>
      </c>
      <c r="C74" s="7" t="s">
        <v>991</v>
      </c>
      <c r="D74" s="7" t="s">
        <v>69</v>
      </c>
      <c r="E74" s="7" t="s">
        <v>169</v>
      </c>
      <c r="F74" s="8" t="n">
        <v>4.38</v>
      </c>
      <c r="G74" s="8" t="n">
        <v>5.26</v>
      </c>
      <c r="H74" s="16" t="n">
        <f aca="false">IF(OR(F74="",F74=0),"",(G74-F74)/F74)</f>
        <v>0.200913242009132</v>
      </c>
      <c r="I74" s="14" t="n">
        <v>0</v>
      </c>
    </row>
    <row r="75" customFormat="false" ht="21.75" hidden="false" customHeight="true" outlineLevel="0" collapsed="false">
      <c r="B75" s="4" t="s">
        <v>992</v>
      </c>
      <c r="C75" s="4" t="s">
        <v>993</v>
      </c>
      <c r="D75" s="4" t="s">
        <v>69</v>
      </c>
      <c r="E75" s="4" t="s">
        <v>169</v>
      </c>
      <c r="F75" s="5" t="n">
        <v>22.85</v>
      </c>
      <c r="G75" s="5" t="n">
        <v>27.42</v>
      </c>
      <c r="H75" s="15" t="n">
        <f aca="false">IF(OR(F75="",F75=0),"",(G75-F75)/F75)</f>
        <v>0.2</v>
      </c>
      <c r="I75" s="13" t="n">
        <v>0</v>
      </c>
    </row>
    <row r="76" customFormat="false" ht="21.75" hidden="false" customHeight="true" outlineLevel="0" collapsed="false">
      <c r="B76" s="7" t="s">
        <v>994</v>
      </c>
      <c r="C76" s="7" t="s">
        <v>995</v>
      </c>
      <c r="D76" s="7" t="s">
        <v>918</v>
      </c>
      <c r="E76" s="7" t="s">
        <v>169</v>
      </c>
      <c r="F76" s="8" t="n">
        <v>13.33</v>
      </c>
      <c r="G76" s="8" t="n">
        <v>16</v>
      </c>
      <c r="H76" s="16" t="n">
        <f aca="false">IF(OR(F76="",F76=0),"",(G76-F76)/F76)</f>
        <v>0.200300075018755</v>
      </c>
      <c r="I76" s="14" t="n">
        <v>0</v>
      </c>
    </row>
    <row r="77" customFormat="false" ht="21.75" hidden="false" customHeight="true" outlineLevel="0" collapsed="false">
      <c r="B77" s="4" t="s">
        <v>996</v>
      </c>
      <c r="C77" s="4" t="s">
        <v>997</v>
      </c>
      <c r="D77" s="4" t="s">
        <v>918</v>
      </c>
      <c r="E77" s="4" t="s">
        <v>169</v>
      </c>
      <c r="F77" s="5" t="n">
        <v>4.58</v>
      </c>
      <c r="G77" s="5" t="n">
        <v>5.5</v>
      </c>
      <c r="H77" s="15" t="n">
        <f aca="false">IF(OR(F77="",F77=0),"",(G77-F77)/F77)</f>
        <v>0.200873362445415</v>
      </c>
      <c r="I77" s="13" t="n">
        <v>0</v>
      </c>
    </row>
    <row r="78" customFormat="false" ht="21.75" hidden="false" customHeight="true" outlineLevel="0" collapsed="false">
      <c r="B78" s="7" t="s">
        <v>998</v>
      </c>
      <c r="C78" s="7" t="s">
        <v>134</v>
      </c>
      <c r="D78" s="7" t="s">
        <v>918</v>
      </c>
      <c r="E78" s="7" t="s">
        <v>169</v>
      </c>
      <c r="F78" s="8" t="n">
        <v>0.31</v>
      </c>
      <c r="G78" s="8" t="n">
        <v>0.4</v>
      </c>
      <c r="H78" s="16" t="n">
        <f aca="false">IF(OR(F78="",F78=0),"",(G78-F78)/F78)</f>
        <v>0.290322580645161</v>
      </c>
      <c r="I78" s="14" t="n">
        <v>95</v>
      </c>
    </row>
    <row r="79" customFormat="false" ht="21.75" hidden="false" customHeight="true" outlineLevel="0" collapsed="false">
      <c r="B79" s="4" t="s">
        <v>999</v>
      </c>
      <c r="C79" s="4" t="s">
        <v>1000</v>
      </c>
      <c r="D79" s="4" t="s">
        <v>918</v>
      </c>
      <c r="E79" s="4" t="s">
        <v>169</v>
      </c>
      <c r="F79" s="5" t="n">
        <v>0.04</v>
      </c>
      <c r="G79" s="5" t="n">
        <v>0.06</v>
      </c>
      <c r="H79" s="15" t="n">
        <f aca="false">IF(OR(F79="",F79=0),"",(G79-F79)/F79)</f>
        <v>0.5</v>
      </c>
      <c r="I79" s="13" t="n">
        <v>0</v>
      </c>
    </row>
    <row r="80" customFormat="false" ht="21.75" hidden="false" customHeight="true" outlineLevel="0" collapsed="false">
      <c r="B80" s="7" t="s">
        <v>1001</v>
      </c>
      <c r="C80" s="7" t="s">
        <v>74</v>
      </c>
      <c r="D80" s="7" t="s">
        <v>918</v>
      </c>
      <c r="E80" s="7" t="s">
        <v>169</v>
      </c>
      <c r="F80" s="8" t="n">
        <v>3.05</v>
      </c>
      <c r="G80" s="8" t="n">
        <v>3.66</v>
      </c>
      <c r="H80" s="16" t="n">
        <f aca="false">IF(OR(F80="",F80=0),"",(G80-F80)/F80)</f>
        <v>0.2</v>
      </c>
      <c r="I80" s="14" t="n">
        <v>6</v>
      </c>
    </row>
    <row r="81" customFormat="false" ht="21.75" hidden="false" customHeight="true" outlineLevel="0" collapsed="false">
      <c r="B81" s="4" t="s">
        <v>1002</v>
      </c>
      <c r="C81" s="4" t="s">
        <v>1003</v>
      </c>
      <c r="D81" s="4" t="s">
        <v>918</v>
      </c>
      <c r="E81" s="4" t="s">
        <v>169</v>
      </c>
      <c r="F81" s="5" t="n">
        <v>3.24</v>
      </c>
      <c r="G81" s="5" t="n">
        <v>3.89</v>
      </c>
      <c r="H81" s="15" t="n">
        <f aca="false">IF(OR(F81="",F81=0),"",(G81-F81)/F81)</f>
        <v>0.200617283950617</v>
      </c>
      <c r="I81" s="13" t="n">
        <v>0</v>
      </c>
    </row>
    <row r="82" customFormat="false" ht="21.75" hidden="false" customHeight="true" outlineLevel="0" collapsed="false">
      <c r="B82" s="7" t="s">
        <v>1004</v>
      </c>
      <c r="C82" s="7" t="s">
        <v>1005</v>
      </c>
      <c r="D82" s="7" t="s">
        <v>918</v>
      </c>
      <c r="E82" s="7" t="s">
        <v>169</v>
      </c>
      <c r="F82" s="8" t="n">
        <v>0.2</v>
      </c>
      <c r="G82" s="8" t="n">
        <v>0.3</v>
      </c>
      <c r="H82" s="16" t="n">
        <f aca="false">IF(OR(F82="",F82=0),"",(G82-F82)/F82)</f>
        <v>0.5</v>
      </c>
      <c r="I82" s="14" t="n">
        <v>0</v>
      </c>
    </row>
    <row r="83" customFormat="false" ht="21.75" hidden="false" customHeight="true" outlineLevel="0" collapsed="false">
      <c r="B83" s="4" t="s">
        <v>1006</v>
      </c>
      <c r="C83" s="4" t="s">
        <v>1007</v>
      </c>
      <c r="D83" s="4" t="s">
        <v>918</v>
      </c>
      <c r="E83" s="4" t="s">
        <v>169</v>
      </c>
      <c r="F83" s="5" t="n">
        <v>5.15</v>
      </c>
      <c r="G83" s="5" t="n">
        <v>6.18</v>
      </c>
      <c r="H83" s="15" t="n">
        <f aca="false">IF(OR(F83="",F83=0),"",(G83-F83)/F83)</f>
        <v>0.2</v>
      </c>
      <c r="I83" s="13" t="n">
        <v>0</v>
      </c>
    </row>
    <row r="84" customFormat="false" ht="21.75" hidden="false" customHeight="true" outlineLevel="0" collapsed="false">
      <c r="B84" s="7" t="s">
        <v>1008</v>
      </c>
      <c r="C84" s="7" t="s">
        <v>1007</v>
      </c>
      <c r="D84" s="7" t="s">
        <v>918</v>
      </c>
      <c r="E84" s="7" t="s">
        <v>169</v>
      </c>
      <c r="F84" s="8" t="n">
        <v>5.2</v>
      </c>
      <c r="G84" s="8" t="n">
        <v>6.24</v>
      </c>
      <c r="H84" s="16" t="n">
        <f aca="false">IF(OR(F84="",F84=0),"",(G84-F84)/F84)</f>
        <v>0.2</v>
      </c>
      <c r="I84" s="14" t="n">
        <v>0</v>
      </c>
    </row>
    <row r="85" customFormat="false" ht="21.75" hidden="false" customHeight="true" outlineLevel="0" collapsed="false">
      <c r="B85" s="4" t="s">
        <v>1009</v>
      </c>
      <c r="C85" s="4" t="s">
        <v>1010</v>
      </c>
      <c r="D85" s="4" t="s">
        <v>918</v>
      </c>
      <c r="E85" s="4" t="s">
        <v>169</v>
      </c>
      <c r="F85" s="5" t="n">
        <v>3.85</v>
      </c>
      <c r="G85" s="5" t="n">
        <v>4.62</v>
      </c>
      <c r="H85" s="15" t="n">
        <f aca="false">IF(OR(F85="",F85=0),"",(G85-F85)/F85)</f>
        <v>0.2</v>
      </c>
      <c r="I85" s="13" t="n">
        <v>0</v>
      </c>
    </row>
    <row r="86" customFormat="false" ht="21.75" hidden="false" customHeight="true" outlineLevel="0" collapsed="false">
      <c r="B86" s="7" t="s">
        <v>1011</v>
      </c>
      <c r="C86" s="7" t="s">
        <v>82</v>
      </c>
      <c r="D86" s="7" t="s">
        <v>918</v>
      </c>
      <c r="E86" s="7" t="s">
        <v>169</v>
      </c>
      <c r="F86" s="8" t="n">
        <v>10.67</v>
      </c>
      <c r="G86" s="8" t="n">
        <v>12.81</v>
      </c>
      <c r="H86" s="16" t="n">
        <f aca="false">IF(OR(F86="",F86=0),"",(G86-F86)/F86)</f>
        <v>0.200562324273665</v>
      </c>
      <c r="I86" s="14" t="n">
        <v>0</v>
      </c>
    </row>
    <row r="87" customFormat="false" ht="21.75" hidden="false" customHeight="true" outlineLevel="0" collapsed="false">
      <c r="B87" s="4" t="s">
        <v>1012</v>
      </c>
      <c r="C87" s="4" t="s">
        <v>82</v>
      </c>
      <c r="D87" s="4" t="s">
        <v>918</v>
      </c>
      <c r="E87" s="4" t="s">
        <v>169</v>
      </c>
      <c r="F87" s="5" t="n">
        <v>11.05</v>
      </c>
      <c r="G87" s="5" t="n">
        <v>13.26</v>
      </c>
      <c r="H87" s="15" t="n">
        <f aca="false">IF(OR(F87="",F87=0),"",(G87-F87)/F87)</f>
        <v>0.2</v>
      </c>
      <c r="I87" s="13" t="n">
        <v>0</v>
      </c>
    </row>
    <row r="88" customFormat="false" ht="21.75" hidden="false" customHeight="true" outlineLevel="0" collapsed="false">
      <c r="B88" s="7" t="s">
        <v>1013</v>
      </c>
      <c r="C88" s="7" t="s">
        <v>82</v>
      </c>
      <c r="D88" s="7" t="s">
        <v>918</v>
      </c>
      <c r="E88" s="7" t="s">
        <v>169</v>
      </c>
      <c r="F88" s="8" t="n">
        <v>10.67</v>
      </c>
      <c r="G88" s="8" t="n">
        <v>12.81</v>
      </c>
      <c r="H88" s="16" t="n">
        <f aca="false">IF(OR(F88="",F88=0),"",(G88-F88)/F88)</f>
        <v>0.200562324273665</v>
      </c>
      <c r="I88" s="14" t="n">
        <v>0</v>
      </c>
    </row>
    <row r="89" customFormat="false" ht="21.75" hidden="false" customHeight="true" outlineLevel="0" collapsed="false">
      <c r="B89" s="4" t="s">
        <v>1014</v>
      </c>
      <c r="C89" s="4" t="s">
        <v>1015</v>
      </c>
      <c r="D89" s="4" t="s">
        <v>918</v>
      </c>
      <c r="E89" s="4" t="s">
        <v>169</v>
      </c>
      <c r="F89" s="5" t="n">
        <v>9.46</v>
      </c>
      <c r="G89" s="5" t="n">
        <v>11.36</v>
      </c>
      <c r="H89" s="15" t="n">
        <f aca="false">IF(OR(F89="",F89=0),"",(G89-F89)/F89)</f>
        <v>0.200845665961945</v>
      </c>
      <c r="I89" s="13" t="n">
        <v>0</v>
      </c>
    </row>
    <row r="90" customFormat="false" ht="21.75" hidden="false" customHeight="true" outlineLevel="0" collapsed="false">
      <c r="B90" s="7" t="s">
        <v>1016</v>
      </c>
      <c r="C90" s="7" t="s">
        <v>82</v>
      </c>
      <c r="D90" s="7" t="s">
        <v>918</v>
      </c>
      <c r="E90" s="7" t="s">
        <v>169</v>
      </c>
      <c r="F90" s="8" t="n">
        <v>10.48</v>
      </c>
      <c r="G90" s="8" t="n">
        <v>12.58</v>
      </c>
      <c r="H90" s="16" t="n">
        <f aca="false">IF(OR(F90="",F90=0),"",(G90-F90)/F90)</f>
        <v>0.200381679389313</v>
      </c>
      <c r="I90" s="14" t="n">
        <v>0</v>
      </c>
    </row>
    <row r="91" customFormat="false" ht="21.75" hidden="false" customHeight="true" outlineLevel="0" collapsed="false">
      <c r="B91" s="4" t="s">
        <v>1017</v>
      </c>
      <c r="C91" s="4" t="s">
        <v>82</v>
      </c>
      <c r="D91" s="4" t="s">
        <v>918</v>
      </c>
      <c r="E91" s="4" t="s">
        <v>169</v>
      </c>
      <c r="F91" s="5" t="n">
        <v>10.48</v>
      </c>
      <c r="G91" s="5" t="n">
        <v>12.58</v>
      </c>
      <c r="H91" s="15" t="n">
        <f aca="false">IF(OR(F91="",F91=0),"",(G91-F91)/F91)</f>
        <v>0.200381679389313</v>
      </c>
      <c r="I91" s="13" t="n">
        <v>0</v>
      </c>
    </row>
    <row r="92" customFormat="false" ht="21.75" hidden="false" customHeight="true" outlineLevel="0" collapsed="false">
      <c r="B92" s="7" t="s">
        <v>1018</v>
      </c>
      <c r="C92" s="7" t="s">
        <v>82</v>
      </c>
      <c r="D92" s="7" t="s">
        <v>918</v>
      </c>
      <c r="E92" s="7" t="s">
        <v>169</v>
      </c>
      <c r="F92" s="8" t="n">
        <v>10.67</v>
      </c>
      <c r="G92" s="8" t="n">
        <v>12.81</v>
      </c>
      <c r="H92" s="16" t="n">
        <f aca="false">IF(OR(F92="",F92=0),"",(G92-F92)/F92)</f>
        <v>0.200562324273665</v>
      </c>
      <c r="I92" s="14" t="n">
        <v>0</v>
      </c>
    </row>
    <row r="93" customFormat="false" ht="21.75" hidden="false" customHeight="true" outlineLevel="0" collapsed="false">
      <c r="B93" s="4" t="s">
        <v>1019</v>
      </c>
      <c r="C93" s="4" t="s">
        <v>1015</v>
      </c>
      <c r="D93" s="4" t="s">
        <v>918</v>
      </c>
      <c r="E93" s="4" t="s">
        <v>169</v>
      </c>
      <c r="F93" s="5" t="n">
        <v>10.67</v>
      </c>
      <c r="G93" s="5" t="n">
        <v>12.81</v>
      </c>
      <c r="H93" s="15" t="n">
        <f aca="false">IF(OR(F93="",F93=0),"",(G93-F93)/F93)</f>
        <v>0.200562324273665</v>
      </c>
      <c r="I93" s="13" t="n">
        <v>0</v>
      </c>
    </row>
    <row r="94" customFormat="false" ht="21.75" hidden="false" customHeight="true" outlineLevel="0" collapsed="false">
      <c r="B94" s="7" t="s">
        <v>1020</v>
      </c>
      <c r="C94" s="7" t="s">
        <v>82</v>
      </c>
      <c r="D94" s="7" t="s">
        <v>918</v>
      </c>
      <c r="E94" s="7" t="s">
        <v>169</v>
      </c>
      <c r="F94" s="8" t="n">
        <v>10.48</v>
      </c>
      <c r="G94" s="8" t="n">
        <v>12.58</v>
      </c>
      <c r="H94" s="16" t="n">
        <f aca="false">IF(OR(F94="",F94=0),"",(G94-F94)/F94)</f>
        <v>0.200381679389313</v>
      </c>
      <c r="I94" s="14" t="n">
        <v>0</v>
      </c>
    </row>
    <row r="95" customFormat="false" ht="21.75" hidden="false" customHeight="true" outlineLevel="0" collapsed="false">
      <c r="B95" s="4" t="s">
        <v>1021</v>
      </c>
      <c r="C95" s="4" t="s">
        <v>1015</v>
      </c>
      <c r="D95" s="4" t="s">
        <v>918</v>
      </c>
      <c r="E95" s="4" t="s">
        <v>169</v>
      </c>
      <c r="F95" s="5" t="n">
        <v>10.48</v>
      </c>
      <c r="G95" s="5" t="n">
        <v>12.58</v>
      </c>
      <c r="H95" s="15" t="n">
        <f aca="false">IF(OR(F95="",F95=0),"",(G95-F95)/F95)</f>
        <v>0.200381679389313</v>
      </c>
      <c r="I95" s="13" t="n">
        <v>0</v>
      </c>
    </row>
    <row r="96" customFormat="false" ht="21.75" hidden="false" customHeight="true" outlineLevel="0" collapsed="false">
      <c r="B96" s="7" t="s">
        <v>1022</v>
      </c>
      <c r="C96" s="7" t="s">
        <v>1015</v>
      </c>
      <c r="D96" s="7" t="s">
        <v>918</v>
      </c>
      <c r="E96" s="7" t="s">
        <v>169</v>
      </c>
      <c r="F96" s="8" t="n">
        <v>10.29</v>
      </c>
      <c r="G96" s="8" t="n">
        <v>12.35</v>
      </c>
      <c r="H96" s="16" t="n">
        <f aca="false">IF(OR(F96="",F96=0),"",(G96-F96)/F96)</f>
        <v>0.20019436345967</v>
      </c>
      <c r="I96" s="14" t="n">
        <v>0</v>
      </c>
    </row>
    <row r="97" customFormat="false" ht="21.75" hidden="false" customHeight="true" outlineLevel="0" collapsed="false">
      <c r="B97" s="4" t="s">
        <v>1023</v>
      </c>
      <c r="C97" s="4" t="s">
        <v>82</v>
      </c>
      <c r="D97" s="4" t="s">
        <v>918</v>
      </c>
      <c r="E97" s="4" t="s">
        <v>169</v>
      </c>
      <c r="F97" s="5" t="n">
        <v>10.29</v>
      </c>
      <c r="G97" s="5" t="n">
        <v>12.35</v>
      </c>
      <c r="H97" s="15" t="n">
        <f aca="false">IF(OR(F97="",F97=0),"",(G97-F97)/F97)</f>
        <v>0.20019436345967</v>
      </c>
      <c r="I97" s="13" t="n">
        <v>0</v>
      </c>
    </row>
    <row r="98" customFormat="false" ht="21.75" hidden="false" customHeight="true" outlineLevel="0" collapsed="false">
      <c r="B98" s="7" t="s">
        <v>1024</v>
      </c>
      <c r="C98" s="7" t="s">
        <v>1025</v>
      </c>
      <c r="D98" s="7" t="s">
        <v>918</v>
      </c>
      <c r="E98" s="7" t="s">
        <v>169</v>
      </c>
      <c r="F98" s="8" t="n">
        <v>9.99</v>
      </c>
      <c r="G98" s="8" t="n">
        <v>11.99</v>
      </c>
      <c r="H98" s="16" t="n">
        <f aca="false">IF(OR(F98="",F98=0),"",(G98-F98)/F98)</f>
        <v>0.2002002002002</v>
      </c>
      <c r="I98" s="14" t="n">
        <v>0</v>
      </c>
    </row>
    <row r="99" customFormat="false" ht="21.75" hidden="false" customHeight="true" outlineLevel="0" collapsed="false">
      <c r="B99" s="4" t="s">
        <v>1026</v>
      </c>
      <c r="C99" s="4" t="s">
        <v>1015</v>
      </c>
      <c r="D99" s="4" t="s">
        <v>918</v>
      </c>
      <c r="E99" s="4" t="s">
        <v>169</v>
      </c>
      <c r="F99" s="5" t="n">
        <v>10.29</v>
      </c>
      <c r="G99" s="5" t="n">
        <v>12.35</v>
      </c>
      <c r="H99" s="15" t="n">
        <f aca="false">IF(OR(F99="",F99=0),"",(G99-F99)/F99)</f>
        <v>0.20019436345967</v>
      </c>
      <c r="I99" s="13" t="n">
        <v>0</v>
      </c>
    </row>
    <row r="100" customFormat="false" ht="21.75" hidden="false" customHeight="true" outlineLevel="0" collapsed="false">
      <c r="B100" s="7" t="s">
        <v>1027</v>
      </c>
      <c r="C100" s="7" t="s">
        <v>82</v>
      </c>
      <c r="D100" s="7" t="s">
        <v>918</v>
      </c>
      <c r="E100" s="7" t="s">
        <v>169</v>
      </c>
      <c r="F100" s="8" t="n">
        <v>10.29</v>
      </c>
      <c r="G100" s="8" t="n">
        <v>12.35</v>
      </c>
      <c r="H100" s="16" t="n">
        <f aca="false">IF(OR(F100="",F100=0),"",(G100-F100)/F100)</f>
        <v>0.20019436345967</v>
      </c>
      <c r="I100" s="14" t="n">
        <v>18</v>
      </c>
    </row>
    <row r="101" customFormat="false" ht="21.75" hidden="false" customHeight="true" outlineLevel="0" collapsed="false">
      <c r="B101" s="4" t="s">
        <v>1028</v>
      </c>
      <c r="C101" s="4" t="s">
        <v>1029</v>
      </c>
      <c r="D101" s="4" t="s">
        <v>918</v>
      </c>
      <c r="E101" s="4" t="s">
        <v>169</v>
      </c>
      <c r="F101" s="5" t="n">
        <v>4.19</v>
      </c>
      <c r="G101" s="5" t="n">
        <v>5.03</v>
      </c>
      <c r="H101" s="15" t="n">
        <f aca="false">IF(OR(F101="",F101=0),"",(G101-F101)/F101)</f>
        <v>0.200477326968974</v>
      </c>
      <c r="I101" s="13" t="n">
        <v>0</v>
      </c>
    </row>
    <row r="102" customFormat="false" ht="21.75" hidden="false" customHeight="true" outlineLevel="0" collapsed="false">
      <c r="B102" s="7" t="s">
        <v>1030</v>
      </c>
      <c r="C102" s="7" t="s">
        <v>1031</v>
      </c>
      <c r="D102" s="7" t="s">
        <v>918</v>
      </c>
      <c r="E102" s="7" t="s">
        <v>169</v>
      </c>
      <c r="F102" s="8" t="n">
        <v>8.76</v>
      </c>
      <c r="G102" s="8" t="n">
        <v>10.52</v>
      </c>
      <c r="H102" s="16" t="n">
        <f aca="false">IF(OR(F102="",F102=0),"",(G102-F102)/F102)</f>
        <v>0.200913242009132</v>
      </c>
      <c r="I102" s="14" t="n">
        <v>0</v>
      </c>
    </row>
    <row r="103" customFormat="false" ht="21.75" hidden="false" customHeight="true" outlineLevel="0" collapsed="false">
      <c r="B103" s="4" t="s">
        <v>1032</v>
      </c>
      <c r="C103" s="4" t="s">
        <v>1033</v>
      </c>
      <c r="D103" s="4" t="s">
        <v>918</v>
      </c>
      <c r="E103" s="4" t="s">
        <v>169</v>
      </c>
      <c r="F103" s="5" t="n">
        <v>34.28</v>
      </c>
      <c r="G103" s="5" t="n">
        <v>41.14</v>
      </c>
      <c r="H103" s="15" t="n">
        <f aca="false">IF(OR(F103="",F103=0),"",(G103-F103)/F103)</f>
        <v>0.200116686114352</v>
      </c>
      <c r="I103" s="13" t="n">
        <v>0</v>
      </c>
    </row>
    <row r="104" customFormat="false" ht="21.75" hidden="false" customHeight="true" outlineLevel="0" collapsed="false">
      <c r="B104" s="7" t="s">
        <v>1034</v>
      </c>
      <c r="C104" s="7" t="s">
        <v>1035</v>
      </c>
      <c r="D104" s="7" t="s">
        <v>918</v>
      </c>
      <c r="E104" s="7" t="s">
        <v>169</v>
      </c>
      <c r="F104" s="8" t="n">
        <v>10.67</v>
      </c>
      <c r="G104" s="8" t="n">
        <v>12.81</v>
      </c>
      <c r="H104" s="16" t="n">
        <f aca="false">IF(OR(F104="",F104=0),"",(G104-F104)/F104)</f>
        <v>0.200562324273665</v>
      </c>
      <c r="I104" s="14" t="n">
        <v>0</v>
      </c>
    </row>
    <row r="105" customFormat="false" ht="21.75" hidden="false" customHeight="true" outlineLevel="0" collapsed="false">
      <c r="B105" s="4" t="s">
        <v>1036</v>
      </c>
      <c r="C105" s="4" t="s">
        <v>1035</v>
      </c>
      <c r="D105" s="4" t="s">
        <v>918</v>
      </c>
      <c r="E105" s="4" t="s">
        <v>169</v>
      </c>
      <c r="F105" s="5" t="n">
        <v>10.67</v>
      </c>
      <c r="G105" s="5" t="n">
        <v>12.81</v>
      </c>
      <c r="H105" s="15" t="n">
        <f aca="false">IF(OR(F105="",F105=0),"",(G105-F105)/F105)</f>
        <v>0.200562324273665</v>
      </c>
      <c r="I105" s="13" t="n">
        <v>0</v>
      </c>
    </row>
    <row r="106" customFormat="false" ht="21.75" hidden="false" customHeight="true" outlineLevel="0" collapsed="false">
      <c r="B106" s="7" t="s">
        <v>1037</v>
      </c>
      <c r="C106" s="7" t="s">
        <v>1038</v>
      </c>
      <c r="D106" s="7" t="s">
        <v>918</v>
      </c>
      <c r="E106" s="7" t="s">
        <v>169</v>
      </c>
      <c r="F106" s="8" t="n">
        <v>10.77</v>
      </c>
      <c r="G106" s="8" t="n">
        <v>12.93</v>
      </c>
      <c r="H106" s="16" t="n">
        <f aca="false">IF(OR(F106="",F106=0),"",(G106-F106)/F106)</f>
        <v>0.200557103064067</v>
      </c>
      <c r="I106" s="14" t="n">
        <v>0</v>
      </c>
    </row>
    <row r="107" customFormat="false" ht="21.75" hidden="false" customHeight="true" outlineLevel="0" collapsed="false">
      <c r="B107" s="4" t="s">
        <v>1039</v>
      </c>
      <c r="C107" s="4" t="s">
        <v>1035</v>
      </c>
      <c r="D107" s="4" t="s">
        <v>918</v>
      </c>
      <c r="E107" s="4" t="s">
        <v>169</v>
      </c>
      <c r="F107" s="5" t="n">
        <v>10.29</v>
      </c>
      <c r="G107" s="5" t="n">
        <v>12.35</v>
      </c>
      <c r="H107" s="15" t="n">
        <f aca="false">IF(OR(F107="",F107=0),"",(G107-F107)/F107)</f>
        <v>0.20019436345967</v>
      </c>
      <c r="I107" s="13" t="n">
        <v>3</v>
      </c>
    </row>
    <row r="108" customFormat="false" ht="21.75" hidden="false" customHeight="true" outlineLevel="0" collapsed="false">
      <c r="B108" s="7" t="s">
        <v>1040</v>
      </c>
      <c r="C108" s="7" t="s">
        <v>1041</v>
      </c>
      <c r="D108" s="7" t="s">
        <v>918</v>
      </c>
      <c r="E108" s="7" t="s">
        <v>169</v>
      </c>
      <c r="F108" s="8" t="n">
        <v>10.67</v>
      </c>
      <c r="G108" s="8" t="n">
        <v>12.81</v>
      </c>
      <c r="H108" s="16" t="n">
        <f aca="false">IF(OR(F108="",F108=0),"",(G108-F108)/F108)</f>
        <v>0.200562324273665</v>
      </c>
      <c r="I108" s="14" t="n">
        <v>0</v>
      </c>
    </row>
    <row r="109" customFormat="false" ht="21.75" hidden="false" customHeight="true" outlineLevel="0" collapsed="false">
      <c r="B109" s="4" t="s">
        <v>1042</v>
      </c>
      <c r="C109" s="4" t="s">
        <v>1043</v>
      </c>
      <c r="D109" s="4" t="s">
        <v>918</v>
      </c>
      <c r="E109" s="4" t="s">
        <v>169</v>
      </c>
      <c r="F109" s="5" t="n">
        <v>10.67</v>
      </c>
      <c r="G109" s="5" t="n">
        <v>12.81</v>
      </c>
      <c r="H109" s="15" t="n">
        <f aca="false">IF(OR(F109="",F109=0),"",(G109-F109)/F109)</f>
        <v>0.200562324273665</v>
      </c>
      <c r="I109" s="13" t="n">
        <v>0</v>
      </c>
    </row>
    <row r="110" customFormat="false" ht="21.75" hidden="false" customHeight="true" outlineLevel="0" collapsed="false">
      <c r="B110" s="7" t="s">
        <v>1044</v>
      </c>
      <c r="C110" s="7" t="s">
        <v>1043</v>
      </c>
      <c r="D110" s="7" t="s">
        <v>918</v>
      </c>
      <c r="E110" s="7" t="s">
        <v>169</v>
      </c>
      <c r="F110" s="8" t="n">
        <v>10.77</v>
      </c>
      <c r="G110" s="8" t="n">
        <v>12.93</v>
      </c>
      <c r="H110" s="16" t="n">
        <f aca="false">IF(OR(F110="",F110=0),"",(G110-F110)/F110)</f>
        <v>0.200557103064067</v>
      </c>
      <c r="I110" s="14" t="n">
        <v>0</v>
      </c>
    </row>
    <row r="111" customFormat="false" ht="21.75" hidden="false" customHeight="true" outlineLevel="0" collapsed="false">
      <c r="B111" s="4" t="s">
        <v>1045</v>
      </c>
      <c r="C111" s="4" t="s">
        <v>1046</v>
      </c>
      <c r="D111" s="4" t="s">
        <v>918</v>
      </c>
      <c r="E111" s="4" t="s">
        <v>169</v>
      </c>
      <c r="F111" s="5" t="n">
        <v>7.24</v>
      </c>
      <c r="G111" s="5" t="n">
        <v>8.69</v>
      </c>
      <c r="H111" s="15" t="n">
        <f aca="false">IF(OR(F111="",F111=0),"",(G111-F111)/F111)</f>
        <v>0.200276243093923</v>
      </c>
      <c r="I111" s="13" t="n">
        <v>0</v>
      </c>
    </row>
    <row r="112" customFormat="false" ht="21.75" hidden="false" customHeight="true" outlineLevel="0" collapsed="false">
      <c r="B112" s="7" t="s">
        <v>1047</v>
      </c>
      <c r="C112" s="7" t="s">
        <v>1046</v>
      </c>
      <c r="D112" s="7" t="s">
        <v>918</v>
      </c>
      <c r="E112" s="7" t="s">
        <v>169</v>
      </c>
      <c r="F112" s="8" t="n">
        <v>6.1</v>
      </c>
      <c r="G112" s="8" t="n">
        <v>7.32</v>
      </c>
      <c r="H112" s="16" t="n">
        <f aca="false">IF(OR(F112="",F112=0),"",(G112-F112)/F112)</f>
        <v>0.2</v>
      </c>
      <c r="I112" s="14" t="n">
        <v>0</v>
      </c>
    </row>
    <row r="113" customFormat="false" ht="21.75" hidden="false" customHeight="true" outlineLevel="0" collapsed="false">
      <c r="B113" s="4" t="s">
        <v>1048</v>
      </c>
      <c r="C113" s="4" t="s">
        <v>1046</v>
      </c>
      <c r="D113" s="4" t="s">
        <v>918</v>
      </c>
      <c r="E113" s="4" t="s">
        <v>169</v>
      </c>
      <c r="F113" s="5" t="n">
        <v>6.86</v>
      </c>
      <c r="G113" s="5" t="n">
        <v>8.24</v>
      </c>
      <c r="H113" s="15" t="n">
        <f aca="false">IF(OR(F113="",F113=0),"",(G113-F113)/F113)</f>
        <v>0.201166180758017</v>
      </c>
      <c r="I113" s="13" t="n">
        <v>0</v>
      </c>
    </row>
    <row r="114" customFormat="false" ht="21.75" hidden="false" customHeight="true" outlineLevel="0" collapsed="false">
      <c r="B114" s="7" t="s">
        <v>1049</v>
      </c>
      <c r="C114" s="7" t="s">
        <v>87</v>
      </c>
      <c r="D114" s="7" t="s">
        <v>918</v>
      </c>
      <c r="E114" s="7" t="s">
        <v>169</v>
      </c>
      <c r="F114" s="8" t="n">
        <v>6.92</v>
      </c>
      <c r="G114" s="8" t="n">
        <v>8.31</v>
      </c>
      <c r="H114" s="16" t="n">
        <f aca="false">IF(OR(F114="",F114=0),"",(G114-F114)/F114)</f>
        <v>0.200867052023121</v>
      </c>
      <c r="I114" s="14" t="n">
        <v>56</v>
      </c>
    </row>
    <row r="115" customFormat="false" ht="21.75" hidden="false" customHeight="true" outlineLevel="0" collapsed="false">
      <c r="B115" s="4" t="s">
        <v>1050</v>
      </c>
      <c r="C115" s="4" t="s">
        <v>1051</v>
      </c>
      <c r="D115" s="4" t="s">
        <v>918</v>
      </c>
      <c r="E115" s="4" t="s">
        <v>169</v>
      </c>
      <c r="F115" s="5" t="n">
        <v>10.67</v>
      </c>
      <c r="G115" s="5" t="n">
        <v>12.81</v>
      </c>
      <c r="H115" s="15" t="n">
        <f aca="false">IF(OR(F115="",F115=0),"",(G115-F115)/F115)</f>
        <v>0.200562324273665</v>
      </c>
      <c r="I115" s="13" t="n">
        <v>0</v>
      </c>
    </row>
    <row r="116" customFormat="false" ht="21.75" hidden="false" customHeight="true" outlineLevel="0" collapsed="false">
      <c r="B116" s="7" t="s">
        <v>1052</v>
      </c>
      <c r="C116" s="7" t="s">
        <v>1053</v>
      </c>
      <c r="D116" s="7" t="s">
        <v>918</v>
      </c>
      <c r="E116" s="7" t="s">
        <v>169</v>
      </c>
      <c r="F116" s="8" t="n">
        <v>8.76</v>
      </c>
      <c r="G116" s="8" t="n">
        <v>10.52</v>
      </c>
      <c r="H116" s="16" t="n">
        <f aca="false">IF(OR(F116="",F116=0),"",(G116-F116)/F116)</f>
        <v>0.200913242009132</v>
      </c>
      <c r="I116" s="14" t="n">
        <v>0</v>
      </c>
    </row>
    <row r="117" customFormat="false" ht="21.75" hidden="false" customHeight="true" outlineLevel="0" collapsed="false">
      <c r="B117" s="4" t="s">
        <v>1054</v>
      </c>
      <c r="C117" s="4" t="s">
        <v>1055</v>
      </c>
      <c r="D117" s="4" t="s">
        <v>918</v>
      </c>
      <c r="E117" s="4" t="s">
        <v>169</v>
      </c>
      <c r="F117" s="5" t="n">
        <v>4.62</v>
      </c>
      <c r="G117" s="5" t="n">
        <v>5.55</v>
      </c>
      <c r="H117" s="15" t="n">
        <f aca="false">IF(OR(F117="",F117=0),"",(G117-F117)/F117)</f>
        <v>0.201298701298701</v>
      </c>
      <c r="I117" s="13" t="n">
        <v>0</v>
      </c>
    </row>
    <row r="118" customFormat="false" ht="21.75" hidden="false" customHeight="true" outlineLevel="0" collapsed="false">
      <c r="B118" s="7" t="s">
        <v>1056</v>
      </c>
      <c r="C118" s="7" t="s">
        <v>1057</v>
      </c>
      <c r="D118" s="7" t="s">
        <v>918</v>
      </c>
      <c r="E118" s="7" t="s">
        <v>169</v>
      </c>
      <c r="F118" s="8" t="n">
        <v>4.57</v>
      </c>
      <c r="G118" s="8" t="n">
        <v>5.49</v>
      </c>
      <c r="H118" s="16" t="n">
        <f aca="false">IF(OR(F118="",F118=0),"",(G118-F118)/F118)</f>
        <v>0.201312910284464</v>
      </c>
      <c r="I118" s="14" t="n">
        <v>0</v>
      </c>
    </row>
    <row r="119" customFormat="false" ht="21.75" hidden="false" customHeight="true" outlineLevel="0" collapsed="false">
      <c r="B119" s="4" t="s">
        <v>1058</v>
      </c>
      <c r="C119" s="4" t="s">
        <v>1057</v>
      </c>
      <c r="D119" s="4" t="s">
        <v>918</v>
      </c>
      <c r="E119" s="4" t="s">
        <v>169</v>
      </c>
      <c r="F119" s="5" t="n">
        <v>4.57</v>
      </c>
      <c r="G119" s="5" t="n">
        <v>5.49</v>
      </c>
      <c r="H119" s="15" t="n">
        <f aca="false">IF(OR(F119="",F119=0),"",(G119-F119)/F119)</f>
        <v>0.201312910284464</v>
      </c>
      <c r="I119" s="13" t="n">
        <v>0</v>
      </c>
    </row>
    <row r="120" customFormat="false" ht="21.75" hidden="false" customHeight="true" outlineLevel="0" collapsed="false">
      <c r="B120" s="7" t="s">
        <v>1059</v>
      </c>
      <c r="C120" s="7" t="s">
        <v>1060</v>
      </c>
      <c r="D120" s="7" t="s">
        <v>918</v>
      </c>
      <c r="E120" s="7" t="s">
        <v>169</v>
      </c>
      <c r="F120" s="8" t="n">
        <v>4.57</v>
      </c>
      <c r="G120" s="8" t="n">
        <v>5.49</v>
      </c>
      <c r="H120" s="16" t="n">
        <f aca="false">IF(OR(F120="",F120=0),"",(G120-F120)/F120)</f>
        <v>0.201312910284464</v>
      </c>
      <c r="I120" s="14" t="n">
        <v>0</v>
      </c>
    </row>
    <row r="121" customFormat="false" ht="21.75" hidden="false" customHeight="true" outlineLevel="0" collapsed="false">
      <c r="B121" s="4" t="s">
        <v>1061</v>
      </c>
      <c r="C121" s="4" t="s">
        <v>1057</v>
      </c>
      <c r="D121" s="4" t="s">
        <v>918</v>
      </c>
      <c r="E121" s="4" t="s">
        <v>169</v>
      </c>
      <c r="F121" s="5" t="n">
        <v>4.57</v>
      </c>
      <c r="G121" s="5" t="n">
        <v>5.49</v>
      </c>
      <c r="H121" s="15" t="n">
        <f aca="false">IF(OR(F121="",F121=0),"",(G121-F121)/F121)</f>
        <v>0.201312910284464</v>
      </c>
      <c r="I121" s="13" t="n">
        <v>0</v>
      </c>
    </row>
    <row r="122" customFormat="false" ht="21.75" hidden="false" customHeight="true" outlineLevel="0" collapsed="false">
      <c r="B122" s="7" t="s">
        <v>1062</v>
      </c>
      <c r="C122" s="7" t="s">
        <v>90</v>
      </c>
      <c r="D122" s="7" t="s">
        <v>918</v>
      </c>
      <c r="E122" s="7" t="s">
        <v>169</v>
      </c>
      <c r="F122" s="8" t="n">
        <v>65.44</v>
      </c>
      <c r="G122" s="8" t="n">
        <v>78.53</v>
      </c>
      <c r="H122" s="16" t="n">
        <f aca="false">IF(OR(F122="",F122=0),"",(G122-F122)/F122)</f>
        <v>0.200030562347188</v>
      </c>
      <c r="I122" s="14" t="n">
        <v>4</v>
      </c>
    </row>
    <row r="123" customFormat="false" ht="21.75" hidden="false" customHeight="true" outlineLevel="0" collapsed="false">
      <c r="B123" s="4" t="s">
        <v>1063</v>
      </c>
      <c r="C123" s="4" t="s">
        <v>93</v>
      </c>
      <c r="D123" s="4" t="s">
        <v>918</v>
      </c>
      <c r="E123" s="4" t="s">
        <v>169</v>
      </c>
      <c r="F123" s="5" t="n">
        <v>13.46</v>
      </c>
      <c r="G123" s="5" t="n">
        <v>16.16</v>
      </c>
      <c r="H123" s="15" t="n">
        <f aca="false">IF(OR(F123="",F123=0),"",(G123-F123)/F123)</f>
        <v>0.200594353640416</v>
      </c>
      <c r="I123" s="13" t="n">
        <v>4</v>
      </c>
    </row>
    <row r="124" customFormat="false" ht="21.75" hidden="false" customHeight="true" outlineLevel="0" collapsed="false">
      <c r="B124" s="7" t="s">
        <v>1064</v>
      </c>
      <c r="C124" s="7" t="s">
        <v>1065</v>
      </c>
      <c r="D124" s="7" t="s">
        <v>918</v>
      </c>
      <c r="E124" s="7" t="s">
        <v>169</v>
      </c>
      <c r="F124" s="8" t="n">
        <v>13.33</v>
      </c>
      <c r="G124" s="8" t="n">
        <v>16</v>
      </c>
      <c r="H124" s="16" t="n">
        <f aca="false">IF(OR(F124="",F124=0),"",(G124-F124)/F124)</f>
        <v>0.200300075018755</v>
      </c>
      <c r="I124" s="14" t="n">
        <v>0</v>
      </c>
    </row>
    <row r="125" customFormat="false" ht="21.75" hidden="false" customHeight="true" outlineLevel="0" collapsed="false">
      <c r="B125" s="4" t="s">
        <v>1066</v>
      </c>
      <c r="C125" s="4" t="s">
        <v>288</v>
      </c>
      <c r="D125" s="4" t="s">
        <v>69</v>
      </c>
      <c r="E125" s="4" t="s">
        <v>169</v>
      </c>
      <c r="F125" s="5" t="n">
        <v>2.86</v>
      </c>
      <c r="G125" s="5" t="n">
        <v>3.44</v>
      </c>
      <c r="H125" s="15" t="n">
        <f aca="false">IF(OR(F125="",F125=0),"",(G125-F125)/F125)</f>
        <v>0.202797202797203</v>
      </c>
      <c r="I125" s="13" t="n">
        <v>1</v>
      </c>
    </row>
    <row r="126" customFormat="false" ht="21.75" hidden="false" customHeight="true" outlineLevel="0" collapsed="false">
      <c r="B126" s="7" t="s">
        <v>1067</v>
      </c>
      <c r="C126" s="7" t="s">
        <v>292</v>
      </c>
      <c r="D126" s="7" t="s">
        <v>69</v>
      </c>
      <c r="E126" s="7" t="s">
        <v>169</v>
      </c>
      <c r="F126" s="8" t="n">
        <v>5.72</v>
      </c>
      <c r="G126" s="8" t="n">
        <v>6.87</v>
      </c>
      <c r="H126" s="16" t="n">
        <f aca="false">IF(OR(F126="",F126=0),"",(G126-F126)/F126)</f>
        <v>0.201048951048951</v>
      </c>
      <c r="I126" s="14" t="n">
        <v>1</v>
      </c>
    </row>
    <row r="127" customFormat="false" ht="21.75" hidden="false" customHeight="true" outlineLevel="0" collapsed="false">
      <c r="B127" s="4" t="s">
        <v>1068</v>
      </c>
      <c r="C127" s="4" t="s">
        <v>793</v>
      </c>
      <c r="D127" s="4" t="s">
        <v>69</v>
      </c>
      <c r="E127" s="4" t="s">
        <v>169</v>
      </c>
      <c r="F127" s="5" t="n">
        <v>3.05</v>
      </c>
      <c r="G127" s="5" t="n">
        <v>3.66</v>
      </c>
      <c r="H127" s="15" t="n">
        <f aca="false">IF(OR(F127="",F127=0),"",(G127-F127)/F127)</f>
        <v>0.2</v>
      </c>
      <c r="I127" s="13" t="n">
        <v>0</v>
      </c>
    </row>
    <row r="128" customFormat="false" ht="21.75" hidden="false" customHeight="true" outlineLevel="0" collapsed="false">
      <c r="B128" s="7" t="s">
        <v>1069</v>
      </c>
      <c r="C128" s="7" t="s">
        <v>242</v>
      </c>
      <c r="D128" s="7" t="s">
        <v>69</v>
      </c>
      <c r="E128" s="7" t="s">
        <v>169</v>
      </c>
      <c r="F128" s="8" t="n">
        <v>10.67</v>
      </c>
      <c r="G128" s="8" t="n">
        <v>12.81</v>
      </c>
      <c r="H128" s="16" t="n">
        <f aca="false">IF(OR(F128="",F128=0),"",(G128-F128)/F128)</f>
        <v>0.200562324273665</v>
      </c>
      <c r="I128" s="14" t="n">
        <v>7</v>
      </c>
    </row>
    <row r="129" customFormat="false" ht="21.75" hidden="false" customHeight="true" outlineLevel="0" collapsed="false">
      <c r="B129" s="4" t="s">
        <v>244</v>
      </c>
      <c r="C129" s="4" t="s">
        <v>245</v>
      </c>
      <c r="D129" s="4" t="s">
        <v>1070</v>
      </c>
      <c r="E129" s="4" t="s">
        <v>202</v>
      </c>
      <c r="F129" s="5" t="n">
        <v>1.5</v>
      </c>
      <c r="G129" s="5" t="n">
        <v>2</v>
      </c>
      <c r="H129" s="15" t="n">
        <f aca="false">IF(OR(F129="",F129=0),"",(G129-F129)/F129)</f>
        <v>0.333333333333333</v>
      </c>
      <c r="I129" s="13" t="n">
        <v>204</v>
      </c>
    </row>
    <row r="130" customFormat="false" ht="21.75" hidden="false" customHeight="true" outlineLevel="0" collapsed="false">
      <c r="B130" s="7" t="s">
        <v>1071</v>
      </c>
      <c r="C130" s="7" t="s">
        <v>343</v>
      </c>
      <c r="D130" s="7" t="s">
        <v>69</v>
      </c>
      <c r="E130" s="7" t="s">
        <v>169</v>
      </c>
      <c r="F130" s="8" t="n">
        <v>0.01</v>
      </c>
      <c r="G130" s="8" t="n">
        <v>0.02</v>
      </c>
      <c r="H130" s="16" t="n">
        <f aca="false">IF(OR(F130="",F130=0),"",(G130-F130)/F130)</f>
        <v>1</v>
      </c>
      <c r="I130" s="14" t="n">
        <v>6</v>
      </c>
    </row>
    <row r="131" customFormat="false" ht="21.75" hidden="false" customHeight="true" outlineLevel="0" collapsed="false">
      <c r="B131" s="4" t="s">
        <v>1072</v>
      </c>
      <c r="C131" s="4" t="s">
        <v>345</v>
      </c>
      <c r="D131" s="4" t="s">
        <v>69</v>
      </c>
      <c r="E131" s="4" t="s">
        <v>169</v>
      </c>
      <c r="F131" s="5" t="n">
        <v>0.01</v>
      </c>
      <c r="G131" s="5" t="n">
        <v>0.02</v>
      </c>
      <c r="H131" s="15" t="n">
        <f aca="false">IF(OR(F131="",F131=0),"",(G131-F131)/F131)</f>
        <v>1</v>
      </c>
      <c r="I131" s="13" t="n">
        <v>7</v>
      </c>
    </row>
    <row r="132" customFormat="false" ht="21.75" hidden="false" customHeight="true" outlineLevel="0" collapsed="false">
      <c r="B132" s="7" t="s">
        <v>1073</v>
      </c>
      <c r="C132" s="7" t="s">
        <v>484</v>
      </c>
      <c r="D132" s="7" t="s">
        <v>69</v>
      </c>
      <c r="E132" s="7" t="s">
        <v>169</v>
      </c>
      <c r="F132" s="8" t="n">
        <v>1.49</v>
      </c>
      <c r="G132" s="8" t="n">
        <v>1.91</v>
      </c>
      <c r="H132" s="16" t="n">
        <f aca="false">IF(OR(F132="",F132=0),"",(G132-F132)/F132)</f>
        <v>0.281879194630872</v>
      </c>
      <c r="I132" s="14" t="n">
        <v>11</v>
      </c>
    </row>
    <row r="133" customFormat="false" ht="21.75" hidden="false" customHeight="true" outlineLevel="0" collapsed="false">
      <c r="B133" s="4" t="s">
        <v>1074</v>
      </c>
      <c r="C133" s="4" t="s">
        <v>488</v>
      </c>
      <c r="D133" s="4" t="s">
        <v>69</v>
      </c>
      <c r="E133" s="4" t="s">
        <v>169</v>
      </c>
      <c r="F133" s="5" t="n">
        <v>6.06</v>
      </c>
      <c r="G133" s="5" t="n">
        <v>7.28</v>
      </c>
      <c r="H133" s="15" t="n">
        <f aca="false">IF(OR(F133="",F133=0),"",(G133-F133)/F133)</f>
        <v>0.201320132013201</v>
      </c>
      <c r="I133" s="13" t="n">
        <v>18</v>
      </c>
    </row>
    <row r="134" customFormat="false" ht="21.75" hidden="false" customHeight="true" outlineLevel="0" collapsed="false">
      <c r="B134" s="7" t="s">
        <v>1075</v>
      </c>
      <c r="C134" s="7" t="s">
        <v>490</v>
      </c>
      <c r="D134" s="7" t="s">
        <v>69</v>
      </c>
      <c r="E134" s="7" t="s">
        <v>169</v>
      </c>
      <c r="F134" s="8" t="n">
        <v>2.63</v>
      </c>
      <c r="G134" s="8" t="n">
        <v>3.16</v>
      </c>
      <c r="H134" s="16" t="n">
        <f aca="false">IF(OR(F134="",F134=0),"",(G134-F134)/F134)</f>
        <v>0.201520912547529</v>
      </c>
      <c r="I134" s="14" t="n">
        <v>17</v>
      </c>
    </row>
    <row r="135" customFormat="false" ht="21.75" hidden="false" customHeight="true" outlineLevel="0" collapsed="false">
      <c r="B135" s="4" t="s">
        <v>1076</v>
      </c>
      <c r="C135" s="4" t="s">
        <v>492</v>
      </c>
      <c r="D135" s="4" t="s">
        <v>69</v>
      </c>
      <c r="E135" s="4" t="s">
        <v>169</v>
      </c>
      <c r="F135" s="5" t="n">
        <v>4.16</v>
      </c>
      <c r="G135" s="5" t="n">
        <v>5</v>
      </c>
      <c r="H135" s="15" t="n">
        <f aca="false">IF(OR(F135="",F135=0),"",(G135-F135)/F135)</f>
        <v>0.201923076923077</v>
      </c>
      <c r="I135" s="13" t="n">
        <v>18</v>
      </c>
    </row>
    <row r="136" customFormat="false" ht="21.75" hidden="false" customHeight="true" outlineLevel="0" collapsed="false">
      <c r="B136" s="7" t="s">
        <v>1077</v>
      </c>
      <c r="C136" s="7" t="s">
        <v>347</v>
      </c>
      <c r="D136" s="7" t="s">
        <v>69</v>
      </c>
      <c r="E136" s="7" t="s">
        <v>169</v>
      </c>
      <c r="F136" s="8" t="n">
        <v>6.48</v>
      </c>
      <c r="G136" s="8" t="n">
        <v>7.78</v>
      </c>
      <c r="H136" s="16" t="n">
        <f aca="false">IF(OR(F136="",F136=0),"",(G136-F136)/F136)</f>
        <v>0.200617283950617</v>
      </c>
      <c r="I136" s="14" t="n">
        <v>5</v>
      </c>
    </row>
    <row r="137" customFormat="false" ht="21.75" hidden="false" customHeight="true" outlineLevel="0" collapsed="false">
      <c r="B137" s="4" t="s">
        <v>1078</v>
      </c>
      <c r="C137" s="4" t="s">
        <v>350</v>
      </c>
      <c r="D137" s="4" t="s">
        <v>69</v>
      </c>
      <c r="E137" s="4" t="s">
        <v>169</v>
      </c>
      <c r="F137" s="5" t="n">
        <v>3.81</v>
      </c>
      <c r="G137" s="5" t="n">
        <v>4.58</v>
      </c>
      <c r="H137" s="15" t="n">
        <f aca="false">IF(OR(F137="",F137=0),"",(G137-F137)/F137)</f>
        <v>0.202099737532808</v>
      </c>
      <c r="I137" s="13" t="n">
        <v>13</v>
      </c>
    </row>
    <row r="138" customFormat="false" ht="21.75" hidden="false" customHeight="true" outlineLevel="0" collapsed="false">
      <c r="B138" s="7" t="s">
        <v>1079</v>
      </c>
      <c r="C138" s="7" t="s">
        <v>352</v>
      </c>
      <c r="D138" s="7" t="s">
        <v>69</v>
      </c>
      <c r="E138" s="7" t="s">
        <v>169</v>
      </c>
      <c r="F138" s="8" t="n">
        <v>3.24</v>
      </c>
      <c r="G138" s="8" t="n">
        <v>3.89</v>
      </c>
      <c r="H138" s="16" t="n">
        <f aca="false">IF(OR(F138="",F138=0),"",(G138-F138)/F138)</f>
        <v>0.200617283950617</v>
      </c>
      <c r="I138" s="14" t="n">
        <v>10</v>
      </c>
    </row>
    <row r="139" customFormat="false" ht="21.75" hidden="false" customHeight="true" outlineLevel="0" collapsed="false">
      <c r="B139" s="4" t="s">
        <v>1080</v>
      </c>
      <c r="C139" s="4" t="s">
        <v>354</v>
      </c>
      <c r="D139" s="4" t="s">
        <v>69</v>
      </c>
      <c r="E139" s="4" t="s">
        <v>169</v>
      </c>
      <c r="F139" s="5" t="n">
        <v>2.86</v>
      </c>
      <c r="G139" s="5" t="n">
        <v>3.44</v>
      </c>
      <c r="H139" s="15" t="n">
        <f aca="false">IF(OR(F139="",F139=0),"",(G139-F139)/F139)</f>
        <v>0.202797202797203</v>
      </c>
      <c r="I139" s="13" t="n">
        <v>25</v>
      </c>
    </row>
    <row r="140" customFormat="false" ht="21.75" hidden="false" customHeight="true" outlineLevel="0" collapsed="false">
      <c r="B140" s="7" t="s">
        <v>1081</v>
      </c>
      <c r="C140" s="7" t="s">
        <v>356</v>
      </c>
      <c r="D140" s="7" t="s">
        <v>69</v>
      </c>
      <c r="E140" s="7" t="s">
        <v>169</v>
      </c>
      <c r="F140" s="8" t="n">
        <v>2.29</v>
      </c>
      <c r="G140" s="8" t="n">
        <v>2.75</v>
      </c>
      <c r="H140" s="16" t="n">
        <f aca="false">IF(OR(F140="",F140=0),"",(G140-F140)/F140)</f>
        <v>0.200873362445415</v>
      </c>
      <c r="I140" s="14" t="n">
        <v>346</v>
      </c>
    </row>
    <row r="141" customFormat="false" ht="21.75" hidden="false" customHeight="true" outlineLevel="0" collapsed="false">
      <c r="B141" s="4" t="s">
        <v>1082</v>
      </c>
      <c r="C141" s="4" t="s">
        <v>359</v>
      </c>
      <c r="D141" s="4" t="s">
        <v>69</v>
      </c>
      <c r="E141" s="4" t="s">
        <v>169</v>
      </c>
      <c r="F141" s="5" t="n">
        <v>8.76</v>
      </c>
      <c r="G141" s="5" t="n">
        <v>10.52</v>
      </c>
      <c r="H141" s="15" t="n">
        <f aca="false">IF(OR(F141="",F141=0),"",(G141-F141)/F141)</f>
        <v>0.200913242009132</v>
      </c>
      <c r="I141" s="13" t="n">
        <v>86</v>
      </c>
    </row>
    <row r="142" customFormat="false" ht="21.75" hidden="false" customHeight="true" outlineLevel="0" collapsed="false">
      <c r="B142" s="7" t="s">
        <v>1083</v>
      </c>
      <c r="C142" s="7" t="s">
        <v>362</v>
      </c>
      <c r="D142" s="7" t="s">
        <v>69</v>
      </c>
      <c r="E142" s="7" t="s">
        <v>169</v>
      </c>
      <c r="F142" s="8" t="n">
        <v>17.14</v>
      </c>
      <c r="G142" s="8" t="n">
        <v>20.57</v>
      </c>
      <c r="H142" s="16" t="n">
        <f aca="false">IF(OR(F142="",F142=0),"",(G142-F142)/F142)</f>
        <v>0.200116686114352</v>
      </c>
      <c r="I142" s="14" t="n">
        <v>43</v>
      </c>
    </row>
    <row r="143" customFormat="false" ht="21.75" hidden="false" customHeight="true" outlineLevel="0" collapsed="false">
      <c r="B143" s="4" t="s">
        <v>1084</v>
      </c>
      <c r="C143" s="4" t="s">
        <v>365</v>
      </c>
      <c r="D143" s="4" t="s">
        <v>69</v>
      </c>
      <c r="E143" s="4" t="s">
        <v>169</v>
      </c>
      <c r="F143" s="5" t="n">
        <v>1.34</v>
      </c>
      <c r="G143" s="5" t="n">
        <v>1.72</v>
      </c>
      <c r="H143" s="15" t="n">
        <f aca="false">IF(OR(F143="",F143=0),"",(G143-F143)/F143)</f>
        <v>0.283582089552239</v>
      </c>
      <c r="I143" s="13" t="n">
        <v>80</v>
      </c>
    </row>
    <row r="144" customFormat="false" ht="21.75" hidden="false" customHeight="true" outlineLevel="0" collapsed="false">
      <c r="B144" s="7" t="s">
        <v>1085</v>
      </c>
      <c r="C144" s="7" t="s">
        <v>368</v>
      </c>
      <c r="D144" s="7" t="s">
        <v>69</v>
      </c>
      <c r="E144" s="7" t="s">
        <v>169</v>
      </c>
      <c r="F144" s="8" t="n">
        <v>33.52</v>
      </c>
      <c r="G144" s="8" t="n">
        <v>40.23</v>
      </c>
      <c r="H144" s="16" t="n">
        <f aca="false">IF(OR(F144="",F144=0),"",(G144-F144)/F144)</f>
        <v>0.200178997613365</v>
      </c>
      <c r="I144" s="14" t="n">
        <v>20</v>
      </c>
    </row>
    <row r="145" customFormat="false" ht="21.75" hidden="false" customHeight="true" outlineLevel="0" collapsed="false">
      <c r="B145" s="4" t="s">
        <v>1086</v>
      </c>
      <c r="C145" s="4" t="s">
        <v>371</v>
      </c>
      <c r="D145" s="4" t="s">
        <v>69</v>
      </c>
      <c r="E145" s="4" t="s">
        <v>169</v>
      </c>
      <c r="F145" s="5" t="n">
        <v>5.15</v>
      </c>
      <c r="G145" s="5" t="n">
        <v>6.18</v>
      </c>
      <c r="H145" s="15" t="n">
        <f aca="false">IF(OR(F145="",F145=0),"",(G145-F145)/F145)</f>
        <v>0.2</v>
      </c>
      <c r="I145" s="13" t="n">
        <v>150</v>
      </c>
    </row>
    <row r="146" customFormat="false" ht="21.75" hidden="false" customHeight="true" outlineLevel="0" collapsed="false">
      <c r="B146" s="7" t="s">
        <v>1087</v>
      </c>
      <c r="C146" s="7" t="s">
        <v>373</v>
      </c>
      <c r="D146" s="7" t="s">
        <v>69</v>
      </c>
      <c r="E146" s="7" t="s">
        <v>169</v>
      </c>
      <c r="F146" s="8" t="n">
        <v>3.05</v>
      </c>
      <c r="G146" s="8" t="n">
        <v>3.66</v>
      </c>
      <c r="H146" s="16" t="n">
        <f aca="false">IF(OR(F146="",F146=0),"",(G146-F146)/F146)</f>
        <v>0.2</v>
      </c>
      <c r="I146" s="14" t="n">
        <v>11</v>
      </c>
    </row>
    <row r="147" customFormat="false" ht="21.75" hidden="false" customHeight="true" outlineLevel="0" collapsed="false">
      <c r="B147" s="4" t="s">
        <v>1088</v>
      </c>
      <c r="C147" s="4" t="s">
        <v>376</v>
      </c>
      <c r="D147" s="4" t="s">
        <v>69</v>
      </c>
      <c r="E147" s="4" t="s">
        <v>169</v>
      </c>
      <c r="F147" s="5" t="n">
        <v>3.24</v>
      </c>
      <c r="G147" s="5" t="n">
        <v>3.89</v>
      </c>
      <c r="H147" s="15" t="n">
        <f aca="false">IF(OR(F147="",F147=0),"",(G147-F147)/F147)</f>
        <v>0.200617283950617</v>
      </c>
      <c r="I147" s="13" t="n">
        <v>231</v>
      </c>
    </row>
    <row r="148" customFormat="false" ht="21.75" hidden="false" customHeight="true" outlineLevel="0" collapsed="false">
      <c r="B148" s="7" t="s">
        <v>1089</v>
      </c>
      <c r="C148" s="7" t="s">
        <v>378</v>
      </c>
      <c r="D148" s="7" t="s">
        <v>69</v>
      </c>
      <c r="E148" s="7" t="s">
        <v>169</v>
      </c>
      <c r="F148" s="8" t="n">
        <v>0.1</v>
      </c>
      <c r="G148" s="8" t="n">
        <v>0.15</v>
      </c>
      <c r="H148" s="16" t="n">
        <f aca="false">IF(OR(F148="",F148=0),"",(G148-F148)/F148)</f>
        <v>0.5</v>
      </c>
      <c r="I148" s="14" t="n">
        <v>0</v>
      </c>
    </row>
    <row r="149" customFormat="false" ht="21.75" hidden="false" customHeight="true" outlineLevel="0" collapsed="false">
      <c r="B149" s="4" t="s">
        <v>1090</v>
      </c>
      <c r="C149" s="4" t="s">
        <v>852</v>
      </c>
      <c r="D149" s="4" t="s">
        <v>918</v>
      </c>
      <c r="E149" s="4" t="s">
        <v>169</v>
      </c>
      <c r="F149" s="5" t="n">
        <v>1.57</v>
      </c>
      <c r="G149" s="5" t="n">
        <v>2.01</v>
      </c>
      <c r="H149" s="15" t="n">
        <f aca="false">IF(OR(F149="",F149=0),"",(G149-F149)/F149)</f>
        <v>0.280254777070064</v>
      </c>
      <c r="I149" s="13" t="n">
        <v>0</v>
      </c>
    </row>
    <row r="150" customFormat="false" ht="21.75" hidden="false" customHeight="true" outlineLevel="0" collapsed="false">
      <c r="B150" s="7" t="s">
        <v>1091</v>
      </c>
      <c r="C150" s="7" t="s">
        <v>856</v>
      </c>
      <c r="D150" s="7" t="s">
        <v>918</v>
      </c>
      <c r="E150" s="7" t="s">
        <v>169</v>
      </c>
      <c r="F150" s="8" t="n">
        <v>0.39</v>
      </c>
      <c r="G150" s="8" t="n">
        <v>0.5</v>
      </c>
      <c r="H150" s="16" t="n">
        <f aca="false">IF(OR(F150="",F150=0),"",(G150-F150)/F150)</f>
        <v>0.282051282051282</v>
      </c>
      <c r="I150" s="14" t="n">
        <v>0</v>
      </c>
    </row>
    <row r="151" customFormat="false" ht="21.75" hidden="false" customHeight="true" outlineLevel="0" collapsed="false">
      <c r="B151" s="4" t="s">
        <v>1092</v>
      </c>
      <c r="C151" s="4" t="s">
        <v>1093</v>
      </c>
      <c r="D151" s="4" t="s">
        <v>69</v>
      </c>
      <c r="E151" s="4" t="s">
        <v>169</v>
      </c>
      <c r="F151" s="5" t="n">
        <v>0.15</v>
      </c>
      <c r="G151" s="5" t="n">
        <v>0.23</v>
      </c>
      <c r="H151" s="15" t="n">
        <f aca="false">IF(OR(F151="",F151=0),"",(G151-F151)/F151)</f>
        <v>0.533333333333333</v>
      </c>
      <c r="I151" s="13" t="n">
        <v>144</v>
      </c>
    </row>
    <row r="152" customFormat="false" ht="21.75" hidden="false" customHeight="true" outlineLevel="0" collapsed="false">
      <c r="B152" s="7" t="s">
        <v>1094</v>
      </c>
      <c r="C152" s="7" t="s">
        <v>504</v>
      </c>
      <c r="D152" s="7" t="s">
        <v>69</v>
      </c>
      <c r="E152" s="7" t="s">
        <v>169</v>
      </c>
      <c r="F152" s="8" t="n">
        <v>17.86</v>
      </c>
      <c r="G152" s="8" t="n">
        <v>21.44</v>
      </c>
      <c r="H152" s="16" t="n">
        <f aca="false">IF(OR(F152="",F152=0),"",(G152-F152)/F152)</f>
        <v>0.200447928331467</v>
      </c>
      <c r="I152" s="14" t="n">
        <v>33</v>
      </c>
    </row>
    <row r="153" customFormat="false" ht="21.75" hidden="false" customHeight="true" outlineLevel="0" collapsed="false">
      <c r="B153" s="4" t="s">
        <v>1095</v>
      </c>
      <c r="C153" s="4" t="s">
        <v>508</v>
      </c>
      <c r="D153" s="4" t="s">
        <v>69</v>
      </c>
      <c r="E153" s="4" t="s">
        <v>169</v>
      </c>
      <c r="F153" s="5" t="n">
        <v>6.29</v>
      </c>
      <c r="G153" s="5" t="n">
        <v>7.55</v>
      </c>
      <c r="H153" s="15" t="n">
        <f aca="false">IF(OR(F153="",F153=0),"",(G153-F153)/F153)</f>
        <v>0.200317965023847</v>
      </c>
      <c r="I153" s="13" t="n">
        <v>3</v>
      </c>
    </row>
    <row r="154" customFormat="false" ht="21.75" hidden="false" customHeight="true" outlineLevel="0" collapsed="false">
      <c r="B154" s="7" t="s">
        <v>1096</v>
      </c>
      <c r="C154" s="7" t="s">
        <v>511</v>
      </c>
      <c r="D154" s="7" t="s">
        <v>69</v>
      </c>
      <c r="E154" s="7" t="s">
        <v>169</v>
      </c>
      <c r="F154" s="8" t="n">
        <v>10.25</v>
      </c>
      <c r="G154" s="8" t="n">
        <v>12.3</v>
      </c>
      <c r="H154" s="16" t="n">
        <f aca="false">IF(OR(F154="",F154=0),"",(G154-F154)/F154)</f>
        <v>0.2</v>
      </c>
      <c r="I154" s="14" t="n">
        <v>14</v>
      </c>
    </row>
    <row r="155" customFormat="false" ht="21.75" hidden="false" customHeight="true" outlineLevel="0" collapsed="false">
      <c r="B155" s="4" t="s">
        <v>720</v>
      </c>
      <c r="C155" s="4" t="s">
        <v>721</v>
      </c>
      <c r="D155" s="4" t="s">
        <v>69</v>
      </c>
      <c r="E155" s="4" t="s">
        <v>169</v>
      </c>
      <c r="F155" s="5" t="n">
        <v>1.1</v>
      </c>
      <c r="G155" s="5" t="n">
        <v>1.3</v>
      </c>
      <c r="H155" s="15" t="n">
        <f aca="false">IF(OR(F155="",F155=0),"",(G155-F155)/F155)</f>
        <v>0.181818181818182</v>
      </c>
      <c r="I155" s="13" t="n">
        <v>31</v>
      </c>
    </row>
    <row r="156" customFormat="false" ht="21.75" hidden="false" customHeight="true" outlineLevel="0" collapsed="false">
      <c r="B156" s="7" t="s">
        <v>1097</v>
      </c>
      <c r="C156" s="7" t="s">
        <v>306</v>
      </c>
      <c r="D156" s="7" t="s">
        <v>69</v>
      </c>
      <c r="E156" s="7" t="s">
        <v>169</v>
      </c>
      <c r="F156" s="8" t="n">
        <v>6.06</v>
      </c>
      <c r="G156" s="8" t="n">
        <v>7.28</v>
      </c>
      <c r="H156" s="16" t="n">
        <f aca="false">IF(OR(F156="",F156=0),"",(G156-F156)/F156)</f>
        <v>0.201320132013201</v>
      </c>
      <c r="I156" s="14" t="n">
        <v>4</v>
      </c>
    </row>
    <row r="157" customFormat="false" ht="21.75" hidden="false" customHeight="true" outlineLevel="0" collapsed="false">
      <c r="B157" s="4" t="s">
        <v>1098</v>
      </c>
      <c r="C157" s="4" t="s">
        <v>1099</v>
      </c>
      <c r="D157" s="4" t="s">
        <v>920</v>
      </c>
      <c r="E157" s="4" t="s">
        <v>169</v>
      </c>
      <c r="F157" s="5" t="n">
        <v>10.67</v>
      </c>
      <c r="G157" s="5" t="n">
        <v>12.81</v>
      </c>
      <c r="H157" s="15" t="n">
        <f aca="false">IF(OR(F157="",F157=0),"",(G157-F157)/F157)</f>
        <v>0.200562324273665</v>
      </c>
      <c r="I157" s="13" t="n">
        <v>0</v>
      </c>
    </row>
    <row r="158" customFormat="false" ht="21.75" hidden="false" customHeight="true" outlineLevel="0" collapsed="false">
      <c r="B158" s="7" t="s">
        <v>1100</v>
      </c>
      <c r="C158" s="7" t="s">
        <v>1101</v>
      </c>
      <c r="D158" s="7" t="s">
        <v>920</v>
      </c>
      <c r="E158" s="7" t="s">
        <v>169</v>
      </c>
      <c r="F158" s="8" t="n">
        <v>1.49</v>
      </c>
      <c r="G158" s="8" t="n">
        <v>1.91</v>
      </c>
      <c r="H158" s="16" t="n">
        <f aca="false">IF(OR(F158="",F158=0),"",(G158-F158)/F158)</f>
        <v>0.281879194630872</v>
      </c>
      <c r="I158" s="14" t="n">
        <v>4</v>
      </c>
    </row>
    <row r="159" customFormat="false" ht="21.75" hidden="false" customHeight="true" outlineLevel="0" collapsed="false">
      <c r="B159" s="4" t="s">
        <v>1102</v>
      </c>
      <c r="C159" s="4" t="s">
        <v>594</v>
      </c>
      <c r="D159" s="4" t="s">
        <v>69</v>
      </c>
      <c r="E159" s="4" t="s">
        <v>169</v>
      </c>
      <c r="F159" s="5" t="n">
        <v>0.58</v>
      </c>
      <c r="G159" s="5" t="n">
        <v>0.75</v>
      </c>
      <c r="H159" s="15" t="n">
        <f aca="false">IF(OR(F159="",F159=0),"",(G159-F159)/F159)</f>
        <v>0.293103448275862</v>
      </c>
      <c r="I159" s="13" t="n">
        <v>10</v>
      </c>
    </row>
    <row r="160" customFormat="false" ht="21.75" hidden="false" customHeight="true" outlineLevel="0" collapsed="false">
      <c r="B160" s="7" t="s">
        <v>1103</v>
      </c>
      <c r="C160" s="7" t="s">
        <v>598</v>
      </c>
      <c r="D160" s="7" t="s">
        <v>69</v>
      </c>
      <c r="E160" s="7" t="s">
        <v>169</v>
      </c>
      <c r="F160" s="8" t="n">
        <v>0.58</v>
      </c>
      <c r="G160" s="8" t="n">
        <v>0.75</v>
      </c>
      <c r="H160" s="16" t="n">
        <f aca="false">IF(OR(F160="",F160=0),"",(G160-F160)/F160)</f>
        <v>0.293103448275862</v>
      </c>
      <c r="I160" s="14" t="n">
        <v>5</v>
      </c>
    </row>
    <row r="161" customFormat="false" ht="21.75" hidden="false" customHeight="true" outlineLevel="0" collapsed="false">
      <c r="B161" s="4" t="s">
        <v>858</v>
      </c>
      <c r="C161" s="4" t="s">
        <v>859</v>
      </c>
      <c r="D161" s="4" t="s">
        <v>69</v>
      </c>
      <c r="E161" s="4" t="s">
        <v>202</v>
      </c>
      <c r="F161" s="5" t="n">
        <v>15</v>
      </c>
      <c r="G161" s="5" t="n">
        <v>18</v>
      </c>
      <c r="H161" s="15" t="n">
        <f aca="false">IF(OR(F161="",F161=0),"",(G161-F161)/F161)</f>
        <v>0.2</v>
      </c>
      <c r="I161" s="13" t="n">
        <v>1</v>
      </c>
    </row>
    <row r="162" customFormat="false" ht="21.75" hidden="false" customHeight="true" outlineLevel="0" collapsed="false">
      <c r="B162" s="7" t="s">
        <v>493</v>
      </c>
      <c r="C162" s="7" t="s">
        <v>494</v>
      </c>
      <c r="D162" s="7" t="s">
        <v>69</v>
      </c>
      <c r="E162" s="7" t="s">
        <v>202</v>
      </c>
      <c r="F162" s="8" t="n">
        <v>4</v>
      </c>
      <c r="G162" s="8" t="n">
        <v>4.6</v>
      </c>
      <c r="H162" s="16" t="n">
        <f aca="false">IF(OR(F162="",F162=0),"",(G162-F162)/F162)</f>
        <v>0.15</v>
      </c>
      <c r="I162" s="14" t="n">
        <v>47</v>
      </c>
    </row>
    <row r="163" customFormat="false" ht="21.75" hidden="false" customHeight="true" outlineLevel="0" collapsed="false">
      <c r="B163" s="4" t="s">
        <v>1104</v>
      </c>
      <c r="C163" s="4" t="s">
        <v>1105</v>
      </c>
      <c r="D163" s="4" t="s">
        <v>69</v>
      </c>
      <c r="E163" s="4" t="s">
        <v>169</v>
      </c>
      <c r="F163" s="5" t="n">
        <v>0.2</v>
      </c>
      <c r="G163" s="5" t="n">
        <v>0.3</v>
      </c>
      <c r="H163" s="15" t="n">
        <f aca="false">IF(OR(F163="",F163=0),"",(G163-F163)/F163)</f>
        <v>0.5</v>
      </c>
      <c r="I163" s="13" t="n">
        <v>0</v>
      </c>
    </row>
    <row r="164" customFormat="false" ht="21.75" hidden="false" customHeight="true" outlineLevel="0" collapsed="false">
      <c r="B164" s="7" t="s">
        <v>497</v>
      </c>
      <c r="C164" s="7" t="s">
        <v>498</v>
      </c>
      <c r="D164" s="7" t="s">
        <v>918</v>
      </c>
      <c r="E164" s="7" t="s">
        <v>169</v>
      </c>
      <c r="F164" s="8" t="n">
        <v>6</v>
      </c>
      <c r="G164" s="8" t="n">
        <v>7.2</v>
      </c>
      <c r="H164" s="16" t="n">
        <f aca="false">IF(OR(F164="",F164=0),"",(G164-F164)/F164)</f>
        <v>0.2</v>
      </c>
      <c r="I164" s="14" t="n">
        <v>5</v>
      </c>
    </row>
    <row r="165" customFormat="false" ht="21.75" hidden="false" customHeight="true" outlineLevel="0" collapsed="false">
      <c r="B165" s="4" t="s">
        <v>501</v>
      </c>
      <c r="C165" s="4" t="s">
        <v>502</v>
      </c>
      <c r="D165" s="4" t="s">
        <v>69</v>
      </c>
      <c r="E165" s="4" t="s">
        <v>202</v>
      </c>
      <c r="F165" s="5" t="n">
        <v>12</v>
      </c>
      <c r="G165" s="5" t="n">
        <v>14.4</v>
      </c>
      <c r="H165" s="15" t="n">
        <f aca="false">IF(OR(F165="",F165=0),"",(G165-F165)/F165)</f>
        <v>0.2</v>
      </c>
      <c r="I165" s="13" t="n">
        <v>1</v>
      </c>
    </row>
    <row r="166" customFormat="false" ht="21.75" hidden="false" customHeight="true" outlineLevel="0" collapsed="false">
      <c r="B166" s="7" t="s">
        <v>1106</v>
      </c>
      <c r="C166" s="7" t="s">
        <v>608</v>
      </c>
      <c r="D166" s="7" t="s">
        <v>69</v>
      </c>
      <c r="E166" s="7" t="s">
        <v>169</v>
      </c>
      <c r="F166" s="8" t="n">
        <v>2.67</v>
      </c>
      <c r="G166" s="8" t="n">
        <v>3.21</v>
      </c>
      <c r="H166" s="16" t="n">
        <f aca="false">IF(OR(F166="",F166=0),"",(G166-F166)/F166)</f>
        <v>0.202247191011236</v>
      </c>
      <c r="I166" s="14" t="n">
        <v>33</v>
      </c>
    </row>
    <row r="167" customFormat="false" ht="21.75" hidden="false" customHeight="true" outlineLevel="0" collapsed="false">
      <c r="B167" s="4" t="s">
        <v>1107</v>
      </c>
      <c r="C167" s="4" t="s">
        <v>612</v>
      </c>
      <c r="D167" s="4" t="s">
        <v>69</v>
      </c>
      <c r="E167" s="4" t="s">
        <v>169</v>
      </c>
      <c r="F167" s="5" t="n">
        <v>5.72</v>
      </c>
      <c r="G167" s="5" t="n">
        <v>6.87</v>
      </c>
      <c r="H167" s="15" t="n">
        <f aca="false">IF(OR(F167="",F167=0),"",(G167-F167)/F167)</f>
        <v>0.201048951048951</v>
      </c>
      <c r="I167" s="13" t="n">
        <v>4</v>
      </c>
    </row>
    <row r="168" customFormat="false" ht="21.75" hidden="false" customHeight="true" outlineLevel="0" collapsed="false">
      <c r="B168" s="7" t="s">
        <v>1108</v>
      </c>
      <c r="C168" s="7" t="s">
        <v>614</v>
      </c>
      <c r="D168" s="7" t="s">
        <v>69</v>
      </c>
      <c r="E168" s="7" t="s">
        <v>169</v>
      </c>
      <c r="F168" s="8" t="n">
        <v>8.38</v>
      </c>
      <c r="G168" s="8" t="n">
        <v>10.06</v>
      </c>
      <c r="H168" s="16" t="n">
        <f aca="false">IF(OR(F168="",F168=0),"",(G168-F168)/F168)</f>
        <v>0.200477326968974</v>
      </c>
      <c r="I168" s="14" t="n">
        <v>3</v>
      </c>
    </row>
    <row r="169" customFormat="false" ht="21.75" hidden="false" customHeight="true" outlineLevel="0" collapsed="false">
      <c r="B169" s="4" t="s">
        <v>1109</v>
      </c>
      <c r="C169" s="4" t="s">
        <v>226</v>
      </c>
      <c r="D169" s="4" t="s">
        <v>920</v>
      </c>
      <c r="E169" s="4" t="s">
        <v>169</v>
      </c>
      <c r="F169" s="5" t="n">
        <v>4.77</v>
      </c>
      <c r="G169" s="5" t="n">
        <v>5.73</v>
      </c>
      <c r="H169" s="15" t="n">
        <f aca="false">IF(OR(F169="",F169=0),"",(G169-F169)/F169)</f>
        <v>0.20125786163522</v>
      </c>
      <c r="I169" s="13" t="n">
        <v>14</v>
      </c>
    </row>
    <row r="170" customFormat="false" ht="21.75" hidden="false" customHeight="true" outlineLevel="0" collapsed="false">
      <c r="B170" s="7" t="s">
        <v>1110</v>
      </c>
      <c r="C170" s="7" t="s">
        <v>230</v>
      </c>
      <c r="D170" s="7" t="s">
        <v>920</v>
      </c>
      <c r="E170" s="7" t="s">
        <v>169</v>
      </c>
      <c r="F170" s="8" t="n">
        <v>7.05</v>
      </c>
      <c r="G170" s="8" t="n">
        <v>8.46</v>
      </c>
      <c r="H170" s="16" t="n">
        <f aca="false">IF(OR(F170="",F170=0),"",(G170-F170)/F170)</f>
        <v>0.2</v>
      </c>
      <c r="I170" s="14" t="n">
        <v>12</v>
      </c>
    </row>
    <row r="171" customFormat="false" ht="21.75" hidden="false" customHeight="true" outlineLevel="0" collapsed="false">
      <c r="B171" s="4" t="s">
        <v>1111</v>
      </c>
      <c r="C171" s="4" t="s">
        <v>233</v>
      </c>
      <c r="D171" s="4" t="s">
        <v>920</v>
      </c>
      <c r="E171" s="4" t="s">
        <v>169</v>
      </c>
      <c r="F171" s="5" t="n">
        <v>10.86</v>
      </c>
      <c r="G171" s="5" t="n">
        <v>13.04</v>
      </c>
      <c r="H171" s="15" t="n">
        <f aca="false">IF(OR(F171="",F171=0),"",(G171-F171)/F171)</f>
        <v>0.20073664825046</v>
      </c>
      <c r="I171" s="13" t="n">
        <v>4</v>
      </c>
    </row>
    <row r="172" customFormat="false" ht="21.75" hidden="false" customHeight="true" outlineLevel="0" collapsed="false">
      <c r="B172" s="7" t="s">
        <v>1112</v>
      </c>
      <c r="C172" s="7" t="s">
        <v>236</v>
      </c>
      <c r="D172" s="7" t="s">
        <v>69</v>
      </c>
      <c r="E172" s="7" t="s">
        <v>169</v>
      </c>
      <c r="F172" s="8" t="n">
        <v>6.1</v>
      </c>
      <c r="G172" s="8" t="n">
        <v>7.32</v>
      </c>
      <c r="H172" s="16" t="n">
        <f aca="false">IF(OR(F172="",F172=0),"",(G172-F172)/F172)</f>
        <v>0.2</v>
      </c>
      <c r="I172" s="14" t="n">
        <v>123</v>
      </c>
    </row>
    <row r="173" customFormat="false" ht="21.75" hidden="false" customHeight="true" outlineLevel="0" collapsed="false">
      <c r="B173" s="4" t="s">
        <v>1113</v>
      </c>
      <c r="C173" s="4" t="s">
        <v>239</v>
      </c>
      <c r="D173" s="4" t="s">
        <v>69</v>
      </c>
      <c r="E173" s="4" t="s">
        <v>169</v>
      </c>
      <c r="F173" s="5" t="n">
        <v>13.71</v>
      </c>
      <c r="G173" s="5" t="n">
        <v>16.46</v>
      </c>
      <c r="H173" s="15" t="n">
        <f aca="false">IF(OR(F173="",F173=0),"",(G173-F173)/F173)</f>
        <v>0.200583515681984</v>
      </c>
      <c r="I173" s="13" t="n">
        <v>54</v>
      </c>
    </row>
    <row r="174" customFormat="false" ht="21.75" hidden="false" customHeight="true" outlineLevel="0" collapsed="false">
      <c r="B174" s="7" t="s">
        <v>247</v>
      </c>
      <c r="C174" s="7" t="s">
        <v>248</v>
      </c>
      <c r="D174" s="7" t="s">
        <v>918</v>
      </c>
      <c r="E174" s="7" t="s">
        <v>169</v>
      </c>
      <c r="F174" s="8" t="n">
        <v>0.39</v>
      </c>
      <c r="G174" s="8" t="n">
        <v>0.46</v>
      </c>
      <c r="H174" s="16" t="n">
        <f aca="false">IF(OR(F174="",F174=0),"",(G174-F174)/F174)</f>
        <v>0.17948717948718</v>
      </c>
      <c r="I174" s="14" t="n">
        <v>201</v>
      </c>
    </row>
    <row r="175" customFormat="false" ht="21.75" hidden="false" customHeight="true" outlineLevel="0" collapsed="false">
      <c r="B175" s="4" t="s">
        <v>1114</v>
      </c>
      <c r="C175" s="4" t="s">
        <v>1115</v>
      </c>
      <c r="D175" s="4" t="s">
        <v>1116</v>
      </c>
      <c r="E175" s="4" t="s">
        <v>169</v>
      </c>
      <c r="F175" s="5" t="n">
        <v>3.81</v>
      </c>
      <c r="G175" s="5" t="n">
        <v>4.58</v>
      </c>
      <c r="H175" s="15" t="n">
        <f aca="false">IF(OR(F175="",F175=0),"",(G175-F175)/F175)</f>
        <v>0.202099737532808</v>
      </c>
      <c r="I175" s="13" t="n">
        <v>2</v>
      </c>
    </row>
    <row r="176" customFormat="false" ht="21.75" hidden="false" customHeight="true" outlineLevel="0" collapsed="false">
      <c r="B176" s="7" t="s">
        <v>1117</v>
      </c>
      <c r="C176" s="7" t="s">
        <v>381</v>
      </c>
      <c r="D176" s="7" t="s">
        <v>69</v>
      </c>
      <c r="E176" s="7" t="s">
        <v>169</v>
      </c>
      <c r="F176" s="8" t="n">
        <v>0.01</v>
      </c>
      <c r="G176" s="8" t="n">
        <v>0.02</v>
      </c>
      <c r="H176" s="16" t="n">
        <f aca="false">IF(OR(F176="",F176=0),"",(G176-F176)/F176)</f>
        <v>1</v>
      </c>
      <c r="I176" s="14" t="n">
        <v>6</v>
      </c>
    </row>
    <row r="177" customFormat="false" ht="21.75" hidden="false" customHeight="true" outlineLevel="0" collapsed="false">
      <c r="B177" s="4" t="s">
        <v>1118</v>
      </c>
      <c r="C177" s="4" t="s">
        <v>649</v>
      </c>
      <c r="D177" s="4" t="s">
        <v>918</v>
      </c>
      <c r="E177" s="4" t="s">
        <v>169</v>
      </c>
      <c r="F177" s="5" t="n">
        <v>1.74</v>
      </c>
      <c r="G177" s="5" t="n">
        <v>2.23</v>
      </c>
      <c r="H177" s="15" t="n">
        <f aca="false">IF(OR(F177="",F177=0),"",(G177-F177)/F177)</f>
        <v>0.281609195402299</v>
      </c>
      <c r="I177" s="13" t="n">
        <v>0</v>
      </c>
    </row>
    <row r="178" customFormat="false" ht="21.75" hidden="false" customHeight="true" outlineLevel="0" collapsed="false">
      <c r="B178" s="7" t="s">
        <v>1119</v>
      </c>
      <c r="C178" s="7" t="s">
        <v>655</v>
      </c>
      <c r="D178" s="7" t="s">
        <v>918</v>
      </c>
      <c r="E178" s="7" t="s">
        <v>169</v>
      </c>
      <c r="F178" s="8" t="n">
        <v>0.96</v>
      </c>
      <c r="G178" s="8" t="n">
        <v>1.23</v>
      </c>
      <c r="H178" s="16" t="n">
        <f aca="false">IF(OR(F178="",F178=0),"",(G178-F178)/F178)</f>
        <v>0.28125</v>
      </c>
      <c r="I178" s="14" t="n">
        <v>0</v>
      </c>
    </row>
    <row r="179" customFormat="false" ht="21.75" hidden="false" customHeight="true" outlineLevel="0" collapsed="false">
      <c r="B179" s="4" t="s">
        <v>1120</v>
      </c>
      <c r="C179" s="4" t="s">
        <v>658</v>
      </c>
      <c r="D179" s="4" t="s">
        <v>918</v>
      </c>
      <c r="E179" s="4" t="s">
        <v>169</v>
      </c>
      <c r="F179" s="5" t="n">
        <v>1.34</v>
      </c>
      <c r="G179" s="5" t="n">
        <v>1.72</v>
      </c>
      <c r="H179" s="15" t="n">
        <f aca="false">IF(OR(F179="",F179=0),"",(G179-F179)/F179)</f>
        <v>0.283582089552239</v>
      </c>
      <c r="I179" s="13" t="n">
        <v>191</v>
      </c>
    </row>
    <row r="180" customFormat="false" ht="21.75" hidden="false" customHeight="true" outlineLevel="0" collapsed="false">
      <c r="B180" s="7" t="s">
        <v>1121</v>
      </c>
      <c r="C180" s="7" t="s">
        <v>661</v>
      </c>
      <c r="D180" s="7" t="s">
        <v>918</v>
      </c>
      <c r="E180" s="7" t="s">
        <v>169</v>
      </c>
      <c r="F180" s="8" t="n">
        <v>0.97</v>
      </c>
      <c r="G180" s="8" t="n">
        <v>1.25</v>
      </c>
      <c r="H180" s="16" t="n">
        <f aca="false">IF(OR(F180="",F180=0),"",(G180-F180)/F180)</f>
        <v>0.288659793814433</v>
      </c>
      <c r="I180" s="14" t="n">
        <v>0</v>
      </c>
    </row>
    <row r="181" customFormat="false" ht="21.75" hidden="false" customHeight="true" outlineLevel="0" collapsed="false">
      <c r="B181" s="4" t="s">
        <v>1122</v>
      </c>
      <c r="C181" s="4" t="s">
        <v>664</v>
      </c>
      <c r="D181" s="4" t="s">
        <v>918</v>
      </c>
      <c r="E181" s="4" t="s">
        <v>169</v>
      </c>
      <c r="F181" s="5" t="n">
        <v>0.96</v>
      </c>
      <c r="G181" s="5" t="n">
        <v>1.23</v>
      </c>
      <c r="H181" s="15" t="n">
        <f aca="false">IF(OR(F181="",F181=0),"",(G181-F181)/F181)</f>
        <v>0.28125</v>
      </c>
      <c r="I181" s="13" t="n">
        <v>0</v>
      </c>
    </row>
    <row r="182" customFormat="false" ht="21.75" hidden="false" customHeight="true" outlineLevel="0" collapsed="false">
      <c r="B182" s="7" t="s">
        <v>1123</v>
      </c>
      <c r="C182" s="7" t="s">
        <v>294</v>
      </c>
      <c r="D182" s="7" t="s">
        <v>918</v>
      </c>
      <c r="E182" s="7" t="s">
        <v>169</v>
      </c>
      <c r="F182" s="8" t="n">
        <v>1.38</v>
      </c>
      <c r="G182" s="8" t="n">
        <v>1.77</v>
      </c>
      <c r="H182" s="16" t="n">
        <f aca="false">IF(OR(F182="",F182=0),"",(G182-F182)/F182)</f>
        <v>0.282608695652174</v>
      </c>
      <c r="I182" s="14" t="n">
        <v>0</v>
      </c>
    </row>
    <row r="183" customFormat="false" ht="21.75" hidden="false" customHeight="true" outlineLevel="0" collapsed="false">
      <c r="B183" s="4" t="s">
        <v>1124</v>
      </c>
      <c r="C183" s="4" t="s">
        <v>667</v>
      </c>
      <c r="D183" s="4" t="s">
        <v>918</v>
      </c>
      <c r="E183" s="4" t="s">
        <v>169</v>
      </c>
      <c r="F183" s="5" t="n">
        <v>1.34</v>
      </c>
      <c r="G183" s="5" t="n">
        <v>1.72</v>
      </c>
      <c r="H183" s="15" t="n">
        <f aca="false">IF(OR(F183="",F183=0),"",(G183-F183)/F183)</f>
        <v>0.283582089552239</v>
      </c>
      <c r="I183" s="13" t="n">
        <v>13</v>
      </c>
    </row>
    <row r="184" customFormat="false" ht="21.75" hidden="false" customHeight="true" outlineLevel="0" collapsed="false">
      <c r="B184" s="7" t="s">
        <v>1125</v>
      </c>
      <c r="C184" s="7" t="s">
        <v>670</v>
      </c>
      <c r="D184" s="7" t="s">
        <v>918</v>
      </c>
      <c r="E184" s="7" t="s">
        <v>169</v>
      </c>
      <c r="F184" s="8" t="n">
        <v>1.15</v>
      </c>
      <c r="G184" s="8" t="n">
        <v>1.48</v>
      </c>
      <c r="H184" s="16" t="n">
        <f aca="false">IF(OR(F184="",F184=0),"",(G184-F184)/F184)</f>
        <v>0.286956521739131</v>
      </c>
      <c r="I184" s="14" t="n">
        <v>0</v>
      </c>
    </row>
    <row r="185" customFormat="false" ht="21.75" hidden="false" customHeight="true" outlineLevel="0" collapsed="false">
      <c r="B185" s="4" t="s">
        <v>1126</v>
      </c>
      <c r="C185" s="4" t="s">
        <v>673</v>
      </c>
      <c r="D185" s="4" t="s">
        <v>918</v>
      </c>
      <c r="E185" s="4" t="s">
        <v>169</v>
      </c>
      <c r="F185" s="5" t="n">
        <v>1.22</v>
      </c>
      <c r="G185" s="5" t="n">
        <v>1.57</v>
      </c>
      <c r="H185" s="15" t="n">
        <f aca="false">IF(OR(F185="",F185=0),"",(G185-F185)/F185)</f>
        <v>0.286885245901639</v>
      </c>
      <c r="I185" s="13" t="n">
        <v>0</v>
      </c>
    </row>
    <row r="186" customFormat="false" ht="21.75" hidden="false" customHeight="true" outlineLevel="0" collapsed="false">
      <c r="B186" s="7" t="s">
        <v>1127</v>
      </c>
      <c r="C186" s="7" t="s">
        <v>676</v>
      </c>
      <c r="D186" s="7" t="s">
        <v>918</v>
      </c>
      <c r="E186" s="7" t="s">
        <v>169</v>
      </c>
      <c r="F186" s="8" t="n">
        <v>1.72</v>
      </c>
      <c r="G186" s="8" t="n">
        <v>2.21</v>
      </c>
      <c r="H186" s="16" t="n">
        <f aca="false">IF(OR(F186="",F186=0),"",(G186-F186)/F186)</f>
        <v>0.284883720930233</v>
      </c>
      <c r="I186" s="14" t="n">
        <v>0</v>
      </c>
    </row>
    <row r="187" customFormat="false" ht="21.75" hidden="false" customHeight="true" outlineLevel="0" collapsed="false">
      <c r="B187" s="4" t="s">
        <v>1128</v>
      </c>
      <c r="C187" s="4" t="s">
        <v>682</v>
      </c>
      <c r="D187" s="4" t="s">
        <v>918</v>
      </c>
      <c r="E187" s="4" t="s">
        <v>169</v>
      </c>
      <c r="F187" s="5" t="n">
        <v>1.34</v>
      </c>
      <c r="G187" s="5" t="n">
        <v>1.72</v>
      </c>
      <c r="H187" s="15" t="n">
        <f aca="false">IF(OR(F187="",F187=0),"",(G187-F187)/F187)</f>
        <v>0.283582089552239</v>
      </c>
      <c r="I187" s="13" t="n">
        <v>24</v>
      </c>
    </row>
    <row r="188" customFormat="false" ht="21.75" hidden="false" customHeight="true" outlineLevel="0" collapsed="false">
      <c r="B188" s="7" t="s">
        <v>1129</v>
      </c>
      <c r="C188" s="7" t="s">
        <v>684</v>
      </c>
      <c r="D188" s="7" t="s">
        <v>918</v>
      </c>
      <c r="E188" s="7" t="s">
        <v>169</v>
      </c>
      <c r="F188" s="8" t="n">
        <v>1.41</v>
      </c>
      <c r="G188" s="8" t="n">
        <v>1.81</v>
      </c>
      <c r="H188" s="16" t="n">
        <f aca="false">IF(OR(F188="",F188=0),"",(G188-F188)/F188)</f>
        <v>0.283687943262412</v>
      </c>
      <c r="I188" s="14" t="n">
        <v>0</v>
      </c>
    </row>
    <row r="189" customFormat="false" ht="21.75" hidden="false" customHeight="true" outlineLevel="0" collapsed="false">
      <c r="B189" s="4" t="s">
        <v>685</v>
      </c>
      <c r="C189" s="4" t="s">
        <v>686</v>
      </c>
      <c r="D189" s="4" t="s">
        <v>918</v>
      </c>
      <c r="E189" s="4" t="s">
        <v>169</v>
      </c>
      <c r="F189" s="5" t="n">
        <v>0.6</v>
      </c>
      <c r="G189" s="5" t="n">
        <v>1</v>
      </c>
      <c r="H189" s="15" t="n">
        <f aca="false">IF(OR(F189="",F189=0),"",(G189-F189)/F189)</f>
        <v>0.666666666666667</v>
      </c>
      <c r="I189" s="13" t="n">
        <v>65</v>
      </c>
    </row>
    <row r="190" customFormat="false" ht="21.75" hidden="false" customHeight="true" outlineLevel="0" collapsed="false">
      <c r="B190" s="7" t="s">
        <v>1130</v>
      </c>
      <c r="C190" s="7" t="s">
        <v>1131</v>
      </c>
      <c r="D190" s="7" t="s">
        <v>69</v>
      </c>
      <c r="E190" s="7" t="s">
        <v>169</v>
      </c>
      <c r="F190" s="8" t="n">
        <v>5.72</v>
      </c>
      <c r="G190" s="8" t="n">
        <v>6.87</v>
      </c>
      <c r="H190" s="16" t="n">
        <f aca="false">IF(OR(F190="",F190=0),"",(G190-F190)/F190)</f>
        <v>0.201048951048951</v>
      </c>
      <c r="I190" s="14" t="n">
        <v>0</v>
      </c>
    </row>
    <row r="191" customFormat="false" ht="21.75" hidden="false" customHeight="true" outlineLevel="0" collapsed="false">
      <c r="B191" s="4" t="s">
        <v>1132</v>
      </c>
      <c r="C191" s="4" t="s">
        <v>1133</v>
      </c>
      <c r="D191" s="4" t="s">
        <v>69</v>
      </c>
      <c r="E191" s="4" t="s">
        <v>169</v>
      </c>
      <c r="F191" s="5" t="n">
        <v>5.72</v>
      </c>
      <c r="G191" s="5" t="n">
        <v>6.87</v>
      </c>
      <c r="H191" s="15" t="n">
        <f aca="false">IF(OR(F191="",F191=0),"",(G191-F191)/F191)</f>
        <v>0.201048951048951</v>
      </c>
      <c r="I191" s="13" t="n">
        <v>0</v>
      </c>
    </row>
    <row r="192" customFormat="false" ht="21.75" hidden="false" customHeight="true" outlineLevel="0" collapsed="false">
      <c r="B192" s="7" t="s">
        <v>1134</v>
      </c>
      <c r="C192" s="7" t="s">
        <v>1133</v>
      </c>
      <c r="D192" s="7" t="s">
        <v>69</v>
      </c>
      <c r="E192" s="7" t="s">
        <v>169</v>
      </c>
      <c r="F192" s="8" t="n">
        <v>5.72</v>
      </c>
      <c r="G192" s="8" t="n">
        <v>6.87</v>
      </c>
      <c r="H192" s="16" t="n">
        <f aca="false">IF(OR(F192="",F192=0),"",(G192-F192)/F192)</f>
        <v>0.201048951048951</v>
      </c>
      <c r="I192" s="14" t="n">
        <v>0</v>
      </c>
    </row>
    <row r="193" customFormat="false" ht="21.75" hidden="false" customHeight="true" outlineLevel="0" collapsed="false">
      <c r="B193" s="4" t="s">
        <v>1135</v>
      </c>
      <c r="C193" s="4" t="s">
        <v>1136</v>
      </c>
      <c r="D193" s="4" t="s">
        <v>69</v>
      </c>
      <c r="E193" s="4" t="s">
        <v>169</v>
      </c>
      <c r="F193" s="5" t="n">
        <v>36.57</v>
      </c>
      <c r="G193" s="5" t="n">
        <v>43.89</v>
      </c>
      <c r="H193" s="15" t="n">
        <f aca="false">IF(OR(F193="",F193=0),"",(G193-F193)/F193)</f>
        <v>0.200164068908942</v>
      </c>
      <c r="I193" s="13" t="n">
        <v>0</v>
      </c>
    </row>
    <row r="194" customFormat="false" ht="21.75" hidden="false" customHeight="true" outlineLevel="0" collapsed="false">
      <c r="B194" s="7" t="s">
        <v>1137</v>
      </c>
      <c r="C194" s="7" t="s">
        <v>96</v>
      </c>
      <c r="D194" s="7" t="s">
        <v>69</v>
      </c>
      <c r="E194" s="7" t="s">
        <v>169</v>
      </c>
      <c r="F194" s="8" t="n">
        <v>19.24</v>
      </c>
      <c r="G194" s="8" t="n">
        <v>23.09</v>
      </c>
      <c r="H194" s="16" t="n">
        <f aca="false">IF(OR(F194="",F194=0),"",(G194-F194)/F194)</f>
        <v>0.20010395010395</v>
      </c>
      <c r="I194" s="14" t="n">
        <v>6</v>
      </c>
    </row>
    <row r="195" customFormat="false" ht="21.75" hidden="false" customHeight="true" outlineLevel="0" collapsed="false">
      <c r="B195" s="4" t="s">
        <v>1138</v>
      </c>
      <c r="C195" s="4" t="s">
        <v>1139</v>
      </c>
      <c r="D195" s="4" t="s">
        <v>69</v>
      </c>
      <c r="E195" s="4" t="s">
        <v>169</v>
      </c>
      <c r="F195" s="5" t="n">
        <v>1.36</v>
      </c>
      <c r="G195" s="5" t="n">
        <v>1.75</v>
      </c>
      <c r="H195" s="15" t="n">
        <f aca="false">IF(OR(F195="",F195=0),"",(G195-F195)/F195)</f>
        <v>0.286764705882353</v>
      </c>
      <c r="I195" s="13" t="n">
        <v>0</v>
      </c>
    </row>
    <row r="196" customFormat="false" ht="21.75" hidden="false" customHeight="true" outlineLevel="0" collapsed="false">
      <c r="B196" s="7" t="s">
        <v>1140</v>
      </c>
      <c r="C196" s="7" t="s">
        <v>824</v>
      </c>
      <c r="D196" s="7" t="s">
        <v>918</v>
      </c>
      <c r="E196" s="7" t="s">
        <v>169</v>
      </c>
      <c r="F196" s="8" t="n">
        <v>2.67</v>
      </c>
      <c r="G196" s="8" t="n">
        <v>3.21</v>
      </c>
      <c r="H196" s="16" t="n">
        <f aca="false">IF(OR(F196="",F196=0),"",(G196-F196)/F196)</f>
        <v>0.202247191011236</v>
      </c>
      <c r="I196" s="14" t="n">
        <v>4</v>
      </c>
    </row>
    <row r="197" customFormat="false" ht="21.75" hidden="false" customHeight="true" outlineLevel="0" collapsed="false">
      <c r="B197" s="4" t="s">
        <v>1141</v>
      </c>
      <c r="C197" s="4" t="s">
        <v>1142</v>
      </c>
      <c r="D197" s="4" t="s">
        <v>69</v>
      </c>
      <c r="E197" s="4" t="s">
        <v>169</v>
      </c>
      <c r="F197" s="5" t="n">
        <v>0.96</v>
      </c>
      <c r="G197" s="5" t="n">
        <v>1.23</v>
      </c>
      <c r="H197" s="15" t="n">
        <f aca="false">IF(OR(F197="",F197=0),"",(G197-F197)/F197)</f>
        <v>0.28125</v>
      </c>
      <c r="I197" s="13" t="n">
        <v>0</v>
      </c>
    </row>
    <row r="198" customFormat="false" ht="21.75" hidden="false" customHeight="true" outlineLevel="0" collapsed="false">
      <c r="B198" s="7" t="s">
        <v>1143</v>
      </c>
      <c r="C198" s="7" t="s">
        <v>828</v>
      </c>
      <c r="D198" s="7" t="s">
        <v>69</v>
      </c>
      <c r="E198" s="7" t="s">
        <v>169</v>
      </c>
      <c r="F198" s="8" t="n">
        <v>0.39</v>
      </c>
      <c r="G198" s="8" t="n">
        <v>0.5</v>
      </c>
      <c r="H198" s="16" t="n">
        <f aca="false">IF(OR(F198="",F198=0),"",(G198-F198)/F198)</f>
        <v>0.282051282051282</v>
      </c>
      <c r="I198" s="14" t="n">
        <v>0</v>
      </c>
    </row>
    <row r="199" customFormat="false" ht="21.75" hidden="false" customHeight="true" outlineLevel="0" collapsed="false">
      <c r="B199" s="4" t="s">
        <v>861</v>
      </c>
      <c r="C199" s="4" t="s">
        <v>862</v>
      </c>
      <c r="D199" s="4" t="s">
        <v>69</v>
      </c>
      <c r="E199" s="4" t="s">
        <v>202</v>
      </c>
      <c r="F199" s="5" t="n">
        <v>8</v>
      </c>
      <c r="G199" s="5" t="n">
        <v>9.6</v>
      </c>
      <c r="H199" s="15" t="n">
        <f aca="false">IF(OR(F199="",F199=0),"",(G199-F199)/F199)</f>
        <v>0.2</v>
      </c>
      <c r="I199" s="13" t="n">
        <v>1</v>
      </c>
    </row>
    <row r="200" customFormat="false" ht="21.75" hidden="false" customHeight="true" outlineLevel="0" collapsed="false">
      <c r="B200" s="7" t="s">
        <v>1144</v>
      </c>
      <c r="C200" s="7" t="s">
        <v>1145</v>
      </c>
      <c r="D200" s="7" t="s">
        <v>918</v>
      </c>
      <c r="E200" s="7" t="s">
        <v>202</v>
      </c>
      <c r="F200" s="8" t="n">
        <v>21</v>
      </c>
      <c r="G200" s="8" t="n">
        <v>25.2</v>
      </c>
      <c r="H200" s="16" t="n">
        <f aca="false">IF(OR(F200="",F200=0),"",(G200-F200)/F200)</f>
        <v>0.2</v>
      </c>
      <c r="I200" s="14" t="n">
        <v>0</v>
      </c>
    </row>
    <row r="201" customFormat="false" ht="21.75" hidden="false" customHeight="true" outlineLevel="0" collapsed="false">
      <c r="B201" s="4" t="s">
        <v>864</v>
      </c>
      <c r="C201" s="4" t="s">
        <v>865</v>
      </c>
      <c r="D201" s="4" t="s">
        <v>69</v>
      </c>
      <c r="E201" s="4" t="s">
        <v>202</v>
      </c>
      <c r="F201" s="5" t="n">
        <v>5</v>
      </c>
      <c r="G201" s="5" t="n">
        <v>6</v>
      </c>
      <c r="H201" s="15" t="n">
        <f aca="false">IF(OR(F201="",F201=0),"",(G201-F201)/F201)</f>
        <v>0.2</v>
      </c>
      <c r="I201" s="13" t="n">
        <v>0</v>
      </c>
    </row>
    <row r="202" customFormat="false" ht="21.75" hidden="false" customHeight="true" outlineLevel="0" collapsed="false">
      <c r="B202" s="7" t="s">
        <v>753</v>
      </c>
      <c r="C202" s="7" t="s">
        <v>754</v>
      </c>
      <c r="D202" s="7" t="s">
        <v>69</v>
      </c>
      <c r="E202" s="7" t="s">
        <v>169</v>
      </c>
      <c r="F202" s="8" t="n">
        <v>1.5</v>
      </c>
      <c r="G202" s="8" t="n">
        <v>1.92</v>
      </c>
      <c r="H202" s="16" t="n">
        <f aca="false">IF(OR(F202="",F202=0),"",(G202-F202)/F202)</f>
        <v>0.28</v>
      </c>
      <c r="I202" s="14" t="n">
        <v>0</v>
      </c>
    </row>
    <row r="203" customFormat="false" ht="21.75" hidden="false" customHeight="true" outlineLevel="0" collapsed="false">
      <c r="B203" s="4" t="s">
        <v>1146</v>
      </c>
      <c r="C203" s="4" t="s">
        <v>1147</v>
      </c>
      <c r="D203" s="4" t="s">
        <v>69</v>
      </c>
      <c r="E203" s="4" t="s">
        <v>169</v>
      </c>
      <c r="F203" s="5" t="n">
        <v>15.48</v>
      </c>
      <c r="G203" s="5" t="n">
        <v>18.58</v>
      </c>
      <c r="H203" s="15" t="n">
        <f aca="false">IF(OR(F203="",F203=0),"",(G203-F203)/F203)</f>
        <v>0.200258397932816</v>
      </c>
      <c r="I203" s="13" t="n">
        <v>5</v>
      </c>
    </row>
    <row r="204" customFormat="false" ht="21.75" hidden="false" customHeight="true" outlineLevel="0" collapsed="false">
      <c r="B204" s="7" t="s">
        <v>1148</v>
      </c>
      <c r="C204" s="7" t="s">
        <v>715</v>
      </c>
      <c r="D204" s="7" t="s">
        <v>918</v>
      </c>
      <c r="E204" s="7" t="s">
        <v>169</v>
      </c>
      <c r="F204" s="8" t="n">
        <v>0.02</v>
      </c>
      <c r="G204" s="8" t="n">
        <v>0.03</v>
      </c>
      <c r="H204" s="16" t="n">
        <f aca="false">IF(OR(F204="",F204=0),"",(G204-F204)/F204)</f>
        <v>0.5</v>
      </c>
      <c r="I204" s="14" t="n">
        <v>634</v>
      </c>
    </row>
    <row r="205" customFormat="false" ht="21.75" hidden="false" customHeight="true" outlineLevel="0" collapsed="false">
      <c r="B205" s="4" t="s">
        <v>1149</v>
      </c>
      <c r="C205" s="4" t="s">
        <v>255</v>
      </c>
      <c r="D205" s="4" t="s">
        <v>918</v>
      </c>
      <c r="E205" s="4" t="s">
        <v>169</v>
      </c>
      <c r="F205" s="5" t="n">
        <v>1.34</v>
      </c>
      <c r="G205" s="5" t="n">
        <v>1.72</v>
      </c>
      <c r="H205" s="15" t="n">
        <f aca="false">IF(OR(F205="",F205=0),"",(G205-F205)/F205)</f>
        <v>0.283582089552239</v>
      </c>
      <c r="I205" s="13" t="n">
        <v>66</v>
      </c>
    </row>
    <row r="206" customFormat="false" ht="21.75" hidden="false" customHeight="true" outlineLevel="0" collapsed="false">
      <c r="B206" s="7" t="s">
        <v>1150</v>
      </c>
      <c r="C206" s="7" t="s">
        <v>616</v>
      </c>
      <c r="D206" s="7" t="s">
        <v>69</v>
      </c>
      <c r="E206" s="7" t="s">
        <v>169</v>
      </c>
      <c r="F206" s="8" t="n">
        <v>0.58</v>
      </c>
      <c r="G206" s="8" t="n">
        <v>0.75</v>
      </c>
      <c r="H206" s="16" t="n">
        <f aca="false">IF(OR(F206="",F206=0),"",(G206-F206)/F206)</f>
        <v>0.293103448275862</v>
      </c>
      <c r="I206" s="14" t="n">
        <v>7</v>
      </c>
    </row>
    <row r="207" customFormat="false" ht="21.75" hidden="false" customHeight="true" outlineLevel="0" collapsed="false">
      <c r="B207" s="4" t="s">
        <v>1151</v>
      </c>
      <c r="C207" s="4" t="s">
        <v>868</v>
      </c>
      <c r="D207" s="4" t="s">
        <v>69</v>
      </c>
      <c r="E207" s="4" t="s">
        <v>169</v>
      </c>
      <c r="F207" s="5" t="n">
        <v>7.24</v>
      </c>
      <c r="G207" s="5" t="n">
        <v>8.69</v>
      </c>
      <c r="H207" s="15" t="n">
        <f aca="false">IF(OR(F207="",F207=0),"",(G207-F207)/F207)</f>
        <v>0.200276243093923</v>
      </c>
      <c r="I207" s="13" t="n">
        <v>105</v>
      </c>
    </row>
    <row r="208" customFormat="false" ht="21.75" hidden="false" customHeight="true" outlineLevel="0" collapsed="false">
      <c r="B208" s="7" t="s">
        <v>847</v>
      </c>
      <c r="C208" s="7" t="s">
        <v>848</v>
      </c>
      <c r="D208" s="7" t="s">
        <v>69</v>
      </c>
      <c r="E208" s="7" t="s">
        <v>202</v>
      </c>
      <c r="F208" s="8" t="n">
        <v>0.5</v>
      </c>
      <c r="G208" s="8" t="n">
        <v>0.64</v>
      </c>
      <c r="H208" s="16" t="n">
        <f aca="false">IF(OR(F208="",F208=0),"",(G208-F208)/F208)</f>
        <v>0.28</v>
      </c>
      <c r="I208" s="14" t="n">
        <v>99</v>
      </c>
    </row>
    <row r="209" customFormat="false" ht="21.75" hidden="false" customHeight="true" outlineLevel="0" collapsed="false">
      <c r="B209" s="4" t="s">
        <v>1152</v>
      </c>
      <c r="C209" s="4" t="s">
        <v>618</v>
      </c>
      <c r="D209" s="4" t="s">
        <v>69</v>
      </c>
      <c r="E209" s="4" t="s">
        <v>169</v>
      </c>
      <c r="F209" s="5" t="n">
        <v>0.58</v>
      </c>
      <c r="G209" s="5" t="n">
        <v>0.75</v>
      </c>
      <c r="H209" s="15" t="n">
        <f aca="false">IF(OR(F209="",F209=0),"",(G209-F209)/F209)</f>
        <v>0.293103448275862</v>
      </c>
      <c r="I209" s="13" t="n">
        <v>1</v>
      </c>
    </row>
    <row r="210" customFormat="false" ht="21.75" hidden="false" customHeight="true" outlineLevel="0" collapsed="false">
      <c r="B210" s="7" t="s">
        <v>870</v>
      </c>
      <c r="C210" s="7" t="s">
        <v>871</v>
      </c>
      <c r="D210" s="7" t="s">
        <v>69</v>
      </c>
      <c r="E210" s="7" t="s">
        <v>202</v>
      </c>
      <c r="F210" s="8" t="n">
        <v>10</v>
      </c>
      <c r="G210" s="8" t="n">
        <v>12</v>
      </c>
      <c r="H210" s="16" t="n">
        <f aca="false">IF(OR(F210="",F210=0),"",(G210-F210)/F210)</f>
        <v>0.2</v>
      </c>
      <c r="I210" s="14" t="n">
        <v>1</v>
      </c>
    </row>
    <row r="211" customFormat="false" ht="21.75" hidden="false" customHeight="true" outlineLevel="0" collapsed="false">
      <c r="B211" s="4" t="s">
        <v>784</v>
      </c>
      <c r="C211" s="4" t="s">
        <v>785</v>
      </c>
      <c r="D211" s="4" t="s">
        <v>918</v>
      </c>
      <c r="E211" s="4" t="s">
        <v>202</v>
      </c>
      <c r="F211" s="5" t="n">
        <v>2.5</v>
      </c>
      <c r="G211" s="5" t="n">
        <v>3</v>
      </c>
      <c r="H211" s="15" t="n">
        <f aca="false">IF(OR(F211="",F211=0),"",(G211-F211)/F211)</f>
        <v>0.2</v>
      </c>
      <c r="I211" s="13" t="n">
        <v>11</v>
      </c>
    </row>
    <row r="212" customFormat="false" ht="21.75" hidden="false" customHeight="true" outlineLevel="0" collapsed="false">
      <c r="B212" s="7" t="s">
        <v>1153</v>
      </c>
      <c r="C212" s="7" t="s">
        <v>556</v>
      </c>
      <c r="D212" s="7" t="s">
        <v>69</v>
      </c>
      <c r="E212" s="7" t="s">
        <v>169</v>
      </c>
      <c r="F212" s="8" t="n">
        <v>2.29</v>
      </c>
      <c r="G212" s="8" t="n">
        <v>2.75</v>
      </c>
      <c r="H212" s="16" t="n">
        <f aca="false">IF(OR(F212="",F212=0),"",(G212-F212)/F212)</f>
        <v>0.200873362445415</v>
      </c>
      <c r="I212" s="14" t="n">
        <v>346</v>
      </c>
    </row>
    <row r="213" customFormat="false" ht="21.75" hidden="false" customHeight="true" outlineLevel="0" collapsed="false">
      <c r="B213" s="4" t="s">
        <v>1154</v>
      </c>
      <c r="C213" s="4" t="s">
        <v>560</v>
      </c>
      <c r="D213" s="4" t="s">
        <v>69</v>
      </c>
      <c r="E213" s="4" t="s">
        <v>169</v>
      </c>
      <c r="F213" s="5" t="n">
        <v>6.1</v>
      </c>
      <c r="G213" s="5" t="n">
        <v>7.32</v>
      </c>
      <c r="H213" s="15" t="n">
        <f aca="false">IF(OR(F213="",F213=0),"",(G213-F213)/F213)</f>
        <v>0.2</v>
      </c>
      <c r="I213" s="13" t="n">
        <v>123</v>
      </c>
    </row>
    <row r="214" customFormat="false" ht="21.75" hidden="false" customHeight="true" outlineLevel="0" collapsed="false">
      <c r="B214" s="7" t="s">
        <v>1155</v>
      </c>
      <c r="C214" s="7" t="s">
        <v>563</v>
      </c>
      <c r="D214" s="7" t="s">
        <v>69</v>
      </c>
      <c r="E214" s="7" t="s">
        <v>169</v>
      </c>
      <c r="F214" s="8" t="n">
        <v>8.38</v>
      </c>
      <c r="G214" s="8" t="n">
        <v>10.06</v>
      </c>
      <c r="H214" s="16" t="n">
        <f aca="false">IF(OR(F214="",F214=0),"",(G214-F214)/F214)</f>
        <v>0.200477326968974</v>
      </c>
      <c r="I214" s="14" t="n">
        <v>91</v>
      </c>
    </row>
    <row r="215" customFormat="false" ht="21.75" hidden="false" customHeight="true" outlineLevel="0" collapsed="false">
      <c r="B215" s="4" t="s">
        <v>1156</v>
      </c>
      <c r="C215" s="4" t="s">
        <v>566</v>
      </c>
      <c r="D215" s="4" t="s">
        <v>69</v>
      </c>
      <c r="E215" s="4" t="s">
        <v>169</v>
      </c>
      <c r="F215" s="5" t="n">
        <v>1.15</v>
      </c>
      <c r="G215" s="5" t="n">
        <v>1.48</v>
      </c>
      <c r="H215" s="15" t="n">
        <f aca="false">IF(OR(F215="",F215=0),"",(G215-F215)/F215)</f>
        <v>0.286956521739131</v>
      </c>
      <c r="I215" s="13" t="n">
        <v>1</v>
      </c>
    </row>
    <row r="216" customFormat="false" ht="21.75" hidden="false" customHeight="true" outlineLevel="0" collapsed="false">
      <c r="B216" s="7" t="s">
        <v>1157</v>
      </c>
      <c r="C216" s="7" t="s">
        <v>569</v>
      </c>
      <c r="D216" s="7" t="s">
        <v>69</v>
      </c>
      <c r="E216" s="7" t="s">
        <v>169</v>
      </c>
      <c r="F216" s="8" t="n">
        <v>3.81</v>
      </c>
      <c r="G216" s="8" t="n">
        <v>4.58</v>
      </c>
      <c r="H216" s="16" t="n">
        <f aca="false">IF(OR(F216="",F216=0),"",(G216-F216)/F216)</f>
        <v>0.202099737532808</v>
      </c>
      <c r="I216" s="14" t="n">
        <v>216</v>
      </c>
    </row>
    <row r="217" customFormat="false" ht="21.75" hidden="false" customHeight="true" outlineLevel="0" collapsed="false">
      <c r="B217" s="4" t="s">
        <v>1158</v>
      </c>
      <c r="C217" s="4" t="s">
        <v>621</v>
      </c>
      <c r="D217" s="4" t="s">
        <v>69</v>
      </c>
      <c r="E217" s="4" t="s">
        <v>169</v>
      </c>
      <c r="F217" s="5" t="n">
        <v>0.96</v>
      </c>
      <c r="G217" s="5" t="n">
        <v>1.23</v>
      </c>
      <c r="H217" s="15" t="n">
        <f aca="false">IF(OR(F217="",F217=0),"",(G217-F217)/F217)</f>
        <v>0.28125</v>
      </c>
      <c r="I217" s="13" t="n">
        <v>2</v>
      </c>
    </row>
    <row r="218" customFormat="false" ht="21.75" hidden="false" customHeight="true" outlineLevel="0" collapsed="false">
      <c r="B218" s="7" t="s">
        <v>1159</v>
      </c>
      <c r="C218" s="7" t="s">
        <v>624</v>
      </c>
      <c r="D218" s="7" t="s">
        <v>1116</v>
      </c>
      <c r="E218" s="7" t="s">
        <v>169</v>
      </c>
      <c r="F218" s="8" t="n">
        <v>0.39</v>
      </c>
      <c r="G218" s="8" t="n">
        <v>0.5</v>
      </c>
      <c r="H218" s="16" t="n">
        <f aca="false">IF(OR(F218="",F218=0),"",(G218-F218)/F218)</f>
        <v>0.282051282051282</v>
      </c>
      <c r="I218" s="14" t="n">
        <v>0</v>
      </c>
    </row>
    <row r="219" customFormat="false" ht="21.75" hidden="false" customHeight="true" outlineLevel="0" collapsed="false">
      <c r="B219" s="4" t="s">
        <v>1160</v>
      </c>
      <c r="C219" s="4" t="s">
        <v>1161</v>
      </c>
      <c r="D219" s="4" t="s">
        <v>920</v>
      </c>
      <c r="E219" s="4" t="s">
        <v>169</v>
      </c>
      <c r="F219" s="5" t="n">
        <v>2.29</v>
      </c>
      <c r="G219" s="5" t="n">
        <v>2.75</v>
      </c>
      <c r="H219" s="15" t="n">
        <f aca="false">IF(OR(F219="",F219=0),"",(G219-F219)/F219)</f>
        <v>0.200873362445415</v>
      </c>
      <c r="I219" s="13" t="n">
        <v>0</v>
      </c>
    </row>
    <row r="220" customFormat="false" ht="21.75" hidden="false" customHeight="true" outlineLevel="0" collapsed="false">
      <c r="B220" s="7" t="s">
        <v>1162</v>
      </c>
      <c r="C220" s="7" t="s">
        <v>1163</v>
      </c>
      <c r="D220" s="7" t="s">
        <v>920</v>
      </c>
      <c r="E220" s="7" t="s">
        <v>169</v>
      </c>
      <c r="F220" s="8" t="n">
        <v>2.29</v>
      </c>
      <c r="G220" s="8" t="n">
        <v>2.75</v>
      </c>
      <c r="H220" s="16" t="n">
        <f aca="false">IF(OR(F220="",F220=0),"",(G220-F220)/F220)</f>
        <v>0.200873362445415</v>
      </c>
      <c r="I220" s="14" t="n">
        <v>6</v>
      </c>
    </row>
    <row r="221" customFormat="false" ht="21.75" hidden="false" customHeight="true" outlineLevel="0" collapsed="false">
      <c r="B221" s="4" t="s">
        <v>1164</v>
      </c>
      <c r="C221" s="4" t="s">
        <v>528</v>
      </c>
      <c r="D221" s="4" t="s">
        <v>920</v>
      </c>
      <c r="E221" s="4" t="s">
        <v>169</v>
      </c>
      <c r="F221" s="5" t="n">
        <v>31.71</v>
      </c>
      <c r="G221" s="5" t="n">
        <v>38.06</v>
      </c>
      <c r="H221" s="15" t="n">
        <f aca="false">IF(OR(F221="",F221=0),"",(G221-F221)/F221)</f>
        <v>0.200252286345002</v>
      </c>
      <c r="I221" s="13" t="n">
        <v>9</v>
      </c>
    </row>
    <row r="222" customFormat="false" ht="21.75" hidden="false" customHeight="true" outlineLevel="0" collapsed="false">
      <c r="B222" s="7" t="s">
        <v>1165</v>
      </c>
      <c r="C222" s="7" t="s">
        <v>530</v>
      </c>
      <c r="D222" s="7" t="s">
        <v>920</v>
      </c>
      <c r="E222" s="7" t="s">
        <v>169</v>
      </c>
      <c r="F222" s="8" t="n">
        <v>2.67</v>
      </c>
      <c r="G222" s="8" t="n">
        <v>3.21</v>
      </c>
      <c r="H222" s="16" t="n">
        <f aca="false">IF(OR(F222="",F222=0),"",(G222-F222)/F222)</f>
        <v>0.202247191011236</v>
      </c>
      <c r="I222" s="14" t="n">
        <v>28</v>
      </c>
    </row>
    <row r="223" customFormat="false" ht="21.75" hidden="false" customHeight="true" outlineLevel="0" collapsed="false">
      <c r="B223" s="4" t="s">
        <v>1166</v>
      </c>
      <c r="C223" s="4" t="s">
        <v>880</v>
      </c>
      <c r="D223" s="4" t="s">
        <v>918</v>
      </c>
      <c r="E223" s="4" t="s">
        <v>169</v>
      </c>
      <c r="F223" s="5" t="n">
        <v>3.05</v>
      </c>
      <c r="G223" s="5" t="n">
        <v>3.66</v>
      </c>
      <c r="H223" s="15" t="n">
        <f aca="false">IF(OR(F223="",F223=0),"",(G223-F223)/F223)</f>
        <v>0.2</v>
      </c>
      <c r="I223" s="13" t="n">
        <v>5</v>
      </c>
    </row>
    <row r="224" customFormat="false" ht="21.75" hidden="false" customHeight="true" outlineLevel="0" collapsed="false">
      <c r="B224" s="7" t="s">
        <v>882</v>
      </c>
      <c r="C224" s="7" t="s">
        <v>883</v>
      </c>
      <c r="D224" s="7" t="s">
        <v>69</v>
      </c>
      <c r="E224" s="7" t="s">
        <v>202</v>
      </c>
      <c r="F224" s="8" t="n">
        <v>10</v>
      </c>
      <c r="G224" s="8" t="n">
        <v>12</v>
      </c>
      <c r="H224" s="16" t="n">
        <f aca="false">IF(OR(F224="",F224=0),"",(G224-F224)/F224)</f>
        <v>0.2</v>
      </c>
      <c r="I224" s="14" t="n">
        <v>1</v>
      </c>
    </row>
    <row r="225" customFormat="false" ht="21.75" hidden="false" customHeight="true" outlineLevel="0" collapsed="false">
      <c r="B225" s="4" t="s">
        <v>1167</v>
      </c>
      <c r="C225" s="4" t="s">
        <v>465</v>
      </c>
      <c r="D225" s="4" t="s">
        <v>920</v>
      </c>
      <c r="E225" s="4" t="s">
        <v>169</v>
      </c>
      <c r="F225" s="5" t="n">
        <v>0.39</v>
      </c>
      <c r="G225" s="5" t="n">
        <v>0.5</v>
      </c>
      <c r="H225" s="15" t="n">
        <f aca="false">IF(OR(F225="",F225=0),"",(G225-F225)/F225)</f>
        <v>0.282051282051282</v>
      </c>
      <c r="I225" s="13" t="n">
        <v>93</v>
      </c>
    </row>
    <row r="226" customFormat="false" ht="21.75" hidden="false" customHeight="true" outlineLevel="0" collapsed="false">
      <c r="B226" s="7" t="s">
        <v>1168</v>
      </c>
      <c r="C226" s="7" t="s">
        <v>782</v>
      </c>
      <c r="D226" s="7" t="s">
        <v>69</v>
      </c>
      <c r="E226" s="7" t="s">
        <v>169</v>
      </c>
      <c r="F226" s="8" t="n">
        <v>1.53</v>
      </c>
      <c r="G226" s="8" t="n">
        <v>1.96</v>
      </c>
      <c r="H226" s="16" t="n">
        <f aca="false">IF(OR(F226="",F226=0),"",(G226-F226)/F226)</f>
        <v>0.281045751633987</v>
      </c>
      <c r="I226" s="14" t="n">
        <v>14</v>
      </c>
    </row>
    <row r="227" customFormat="false" ht="21.75" hidden="false" customHeight="true" outlineLevel="0" collapsed="false">
      <c r="B227" s="4" t="s">
        <v>830</v>
      </c>
      <c r="C227" s="4" t="s">
        <v>831</v>
      </c>
      <c r="D227" s="4" t="s">
        <v>69</v>
      </c>
      <c r="E227" s="4" t="s">
        <v>202</v>
      </c>
      <c r="F227" s="5" t="n">
        <v>0.5</v>
      </c>
      <c r="G227" s="5" t="n">
        <v>0.64</v>
      </c>
      <c r="H227" s="15" t="n">
        <f aca="false">IF(OR(F227="",F227=0),"",(G227-F227)/F227)</f>
        <v>0.28</v>
      </c>
      <c r="I227" s="13" t="n">
        <v>5</v>
      </c>
    </row>
    <row r="228" customFormat="false" ht="21.75" hidden="false" customHeight="true" outlineLevel="0" collapsed="false">
      <c r="B228" s="7" t="s">
        <v>834</v>
      </c>
      <c r="C228" s="7" t="s">
        <v>835</v>
      </c>
      <c r="D228" s="7" t="s">
        <v>69</v>
      </c>
      <c r="E228" s="7" t="s">
        <v>202</v>
      </c>
      <c r="F228" s="8" t="n">
        <v>1</v>
      </c>
      <c r="G228" s="8" t="n">
        <v>1.28</v>
      </c>
      <c r="H228" s="16" t="n">
        <f aca="false">IF(OR(F228="",F228=0),"",(G228-F228)/F228)</f>
        <v>0.28</v>
      </c>
      <c r="I228" s="14" t="n">
        <v>1</v>
      </c>
    </row>
    <row r="229" customFormat="false" ht="21.75" hidden="false" customHeight="true" outlineLevel="0" collapsed="false">
      <c r="B229" s="4" t="s">
        <v>837</v>
      </c>
      <c r="C229" s="4" t="s">
        <v>838</v>
      </c>
      <c r="D229" s="4" t="s">
        <v>69</v>
      </c>
      <c r="E229" s="4" t="s">
        <v>202</v>
      </c>
      <c r="F229" s="5" t="n">
        <v>0.65</v>
      </c>
      <c r="G229" s="5" t="n">
        <v>1.15</v>
      </c>
      <c r="H229" s="15" t="n">
        <f aca="false">IF(OR(F229="",F229=0),"",(G229-F229)/F229)</f>
        <v>0.769230769230769</v>
      </c>
      <c r="I229" s="13" t="n">
        <v>18</v>
      </c>
    </row>
    <row r="230" customFormat="false" ht="21.75" hidden="false" customHeight="true" outlineLevel="0" collapsed="false">
      <c r="B230" s="7" t="s">
        <v>1169</v>
      </c>
      <c r="C230" s="7" t="s">
        <v>1170</v>
      </c>
      <c r="D230" s="7" t="s">
        <v>69</v>
      </c>
      <c r="E230" s="7" t="s">
        <v>169</v>
      </c>
      <c r="F230" s="8" t="n">
        <v>1.15</v>
      </c>
      <c r="G230" s="8" t="n">
        <v>1.48</v>
      </c>
      <c r="H230" s="16" t="n">
        <f aca="false">IF(OR(F230="",F230=0),"",(G230-F230)/F230)</f>
        <v>0.286956521739131</v>
      </c>
      <c r="I230" s="14" t="n">
        <v>0</v>
      </c>
    </row>
    <row r="231" customFormat="false" ht="21.75" hidden="false" customHeight="true" outlineLevel="0" collapsed="false">
      <c r="B231" s="4" t="s">
        <v>1171</v>
      </c>
      <c r="C231" s="4" t="s">
        <v>1172</v>
      </c>
      <c r="D231" s="4" t="s">
        <v>69</v>
      </c>
      <c r="E231" s="4" t="s">
        <v>202</v>
      </c>
      <c r="F231" s="5" t="n">
        <v>5</v>
      </c>
      <c r="G231" s="5" t="n">
        <v>6</v>
      </c>
      <c r="H231" s="15" t="n">
        <f aca="false">IF(OR(F231="",F231=0),"",(G231-F231)/F231)</f>
        <v>0.2</v>
      </c>
      <c r="I231" s="13" t="n">
        <v>0</v>
      </c>
    </row>
    <row r="232" customFormat="false" ht="21.75" hidden="false" customHeight="true" outlineLevel="0" collapsed="false">
      <c r="B232" s="7" t="s">
        <v>219</v>
      </c>
      <c r="C232" s="7" t="s">
        <v>220</v>
      </c>
      <c r="D232" s="7" t="s">
        <v>69</v>
      </c>
      <c r="E232" s="7" t="s">
        <v>202</v>
      </c>
      <c r="F232" s="8" t="n">
        <v>8</v>
      </c>
      <c r="G232" s="8" t="n">
        <v>9.6</v>
      </c>
      <c r="H232" s="16" t="n">
        <f aca="false">IF(OR(F232="",F232=0),"",(G232-F232)/F232)</f>
        <v>0.2</v>
      </c>
      <c r="I232" s="14" t="n">
        <v>11</v>
      </c>
    </row>
    <row r="233" customFormat="false" ht="21.75" hidden="false" customHeight="true" outlineLevel="0" collapsed="false">
      <c r="B233" s="4" t="s">
        <v>884</v>
      </c>
      <c r="C233" s="4" t="s">
        <v>885</v>
      </c>
      <c r="D233" s="4" t="s">
        <v>69</v>
      </c>
      <c r="E233" s="4" t="s">
        <v>202</v>
      </c>
      <c r="F233" s="5" t="n">
        <v>2</v>
      </c>
      <c r="G233" s="5" t="n">
        <v>2.56</v>
      </c>
      <c r="H233" s="15" t="n">
        <f aca="false">IF(OR(F233="",F233=0),"",(G233-F233)/F233)</f>
        <v>0.28</v>
      </c>
      <c r="I233" s="13" t="n">
        <v>0</v>
      </c>
    </row>
    <row r="234" customFormat="false" ht="21.75" hidden="false" customHeight="true" outlineLevel="0" collapsed="false">
      <c r="B234" s="7" t="s">
        <v>1173</v>
      </c>
      <c r="C234" s="7" t="s">
        <v>1174</v>
      </c>
      <c r="D234" s="7" t="s">
        <v>69</v>
      </c>
      <c r="E234" s="7" t="s">
        <v>202</v>
      </c>
      <c r="F234" s="8" t="n">
        <v>20</v>
      </c>
      <c r="G234" s="8" t="n">
        <v>24</v>
      </c>
      <c r="H234" s="16" t="n">
        <f aca="false">IF(OR(F234="",F234=0),"",(G234-F234)/F234)</f>
        <v>0.2</v>
      </c>
      <c r="I234" s="14" t="n">
        <v>0</v>
      </c>
    </row>
    <row r="235" customFormat="false" ht="21.75" hidden="false" customHeight="true" outlineLevel="0" collapsed="false">
      <c r="B235" s="4" t="s">
        <v>1175</v>
      </c>
      <c r="C235" s="4" t="s">
        <v>725</v>
      </c>
      <c r="D235" s="4" t="s">
        <v>69</v>
      </c>
      <c r="E235" s="4" t="s">
        <v>169</v>
      </c>
      <c r="F235" s="5" t="n">
        <v>9.53</v>
      </c>
      <c r="G235" s="5" t="n">
        <v>11.44</v>
      </c>
      <c r="H235" s="15" t="n">
        <f aca="false">IF(OR(F235="",F235=0),"",(G235-F235)/F235)</f>
        <v>0.200419727177335</v>
      </c>
      <c r="I235" s="13" t="n">
        <v>10</v>
      </c>
    </row>
    <row r="236" customFormat="false" ht="21.75" hidden="false" customHeight="true" outlineLevel="0" collapsed="false">
      <c r="B236" s="7" t="s">
        <v>1176</v>
      </c>
      <c r="C236" s="7" t="s">
        <v>258</v>
      </c>
      <c r="D236" s="7" t="s">
        <v>69</v>
      </c>
      <c r="E236" s="7" t="s">
        <v>169</v>
      </c>
      <c r="F236" s="8" t="n">
        <v>1.15</v>
      </c>
      <c r="G236" s="8" t="n">
        <v>1.48</v>
      </c>
      <c r="H236" s="16" t="n">
        <f aca="false">IF(OR(F236="",F236=0),"",(G236-F236)/F236)</f>
        <v>0.286956521739131</v>
      </c>
      <c r="I236" s="14" t="n">
        <v>8</v>
      </c>
    </row>
    <row r="237" customFormat="false" ht="21.75" hidden="false" customHeight="true" outlineLevel="0" collapsed="false">
      <c r="B237" s="4" t="s">
        <v>1177</v>
      </c>
      <c r="C237" s="4" t="s">
        <v>261</v>
      </c>
      <c r="D237" s="4" t="s">
        <v>69</v>
      </c>
      <c r="E237" s="4" t="s">
        <v>169</v>
      </c>
      <c r="F237" s="5" t="n">
        <v>1.34</v>
      </c>
      <c r="G237" s="5" t="n">
        <v>1.72</v>
      </c>
      <c r="H237" s="15" t="n">
        <f aca="false">IF(OR(F237="",F237=0),"",(G237-F237)/F237)</f>
        <v>0.283582089552239</v>
      </c>
      <c r="I237" s="13" t="n">
        <v>8</v>
      </c>
    </row>
    <row r="238" customFormat="false" ht="21.75" hidden="false" customHeight="true" outlineLevel="0" collapsed="false">
      <c r="B238" s="7" t="s">
        <v>1178</v>
      </c>
      <c r="C238" s="7" t="s">
        <v>264</v>
      </c>
      <c r="D238" s="7" t="s">
        <v>69</v>
      </c>
      <c r="E238" s="7" t="s">
        <v>169</v>
      </c>
      <c r="F238" s="8" t="n">
        <v>1.53</v>
      </c>
      <c r="G238" s="8" t="n">
        <v>1.96</v>
      </c>
      <c r="H238" s="16" t="n">
        <f aca="false">IF(OR(F238="",F238=0),"",(G238-F238)/F238)</f>
        <v>0.281045751633987</v>
      </c>
      <c r="I238" s="14" t="n">
        <v>36</v>
      </c>
    </row>
    <row r="239" customFormat="false" ht="21.75" hidden="false" customHeight="true" outlineLevel="0" collapsed="false">
      <c r="B239" s="4" t="s">
        <v>1179</v>
      </c>
      <c r="C239" s="4" t="s">
        <v>267</v>
      </c>
      <c r="D239" s="4" t="s">
        <v>69</v>
      </c>
      <c r="E239" s="4" t="s">
        <v>169</v>
      </c>
      <c r="F239" s="5" t="n">
        <v>2.86</v>
      </c>
      <c r="G239" s="5" t="n">
        <v>3.44</v>
      </c>
      <c r="H239" s="15" t="n">
        <f aca="false">IF(OR(F239="",F239=0),"",(G239-F239)/F239)</f>
        <v>0.202797202797203</v>
      </c>
      <c r="I239" s="13" t="n">
        <v>3</v>
      </c>
    </row>
    <row r="240" customFormat="false" ht="21.75" hidden="false" customHeight="true" outlineLevel="0" collapsed="false">
      <c r="B240" s="7" t="s">
        <v>1180</v>
      </c>
      <c r="C240" s="7" t="s">
        <v>270</v>
      </c>
      <c r="D240" s="7" t="s">
        <v>1116</v>
      </c>
      <c r="E240" s="7" t="s">
        <v>169</v>
      </c>
      <c r="F240" s="8" t="n">
        <v>1.91</v>
      </c>
      <c r="G240" s="8" t="n">
        <v>2.45</v>
      </c>
      <c r="H240" s="16" t="n">
        <f aca="false">IF(OR(F240="",F240=0),"",(G240-F240)/F240)</f>
        <v>0.282722513089005</v>
      </c>
      <c r="I240" s="14" t="n">
        <v>2</v>
      </c>
    </row>
    <row r="241" customFormat="false" ht="21.75" hidden="false" customHeight="true" outlineLevel="0" collapsed="false">
      <c r="B241" s="4" t="s">
        <v>1181</v>
      </c>
      <c r="C241" s="4" t="s">
        <v>1182</v>
      </c>
      <c r="D241" s="4" t="s">
        <v>1116</v>
      </c>
      <c r="E241" s="4" t="s">
        <v>169</v>
      </c>
      <c r="F241" s="5" t="n">
        <v>1.15</v>
      </c>
      <c r="G241" s="5" t="n">
        <v>1.48</v>
      </c>
      <c r="H241" s="15" t="n">
        <f aca="false">IF(OR(F241="",F241=0),"",(G241-F241)/F241)</f>
        <v>0.286956521739131</v>
      </c>
      <c r="I241" s="13" t="n">
        <v>0</v>
      </c>
    </row>
    <row r="242" customFormat="false" ht="21.75" hidden="false" customHeight="true" outlineLevel="0" collapsed="false">
      <c r="B242" s="7" t="s">
        <v>272</v>
      </c>
      <c r="C242" s="7" t="s">
        <v>273</v>
      </c>
      <c r="D242" s="7" t="s">
        <v>1116</v>
      </c>
      <c r="E242" s="7" t="s">
        <v>169</v>
      </c>
      <c r="F242" s="8" t="n">
        <v>0.21</v>
      </c>
      <c r="G242" s="8" t="n">
        <v>0.38</v>
      </c>
      <c r="H242" s="16" t="n">
        <f aca="false">IF(OR(F242="",F242=0),"",(G242-F242)/F242)</f>
        <v>0.80952380952381</v>
      </c>
      <c r="I242" s="14" t="n">
        <v>428</v>
      </c>
    </row>
    <row r="243" customFormat="false" ht="21.75" hidden="false" customHeight="true" outlineLevel="0" collapsed="false">
      <c r="B243" s="4" t="s">
        <v>1183</v>
      </c>
      <c r="C243" s="4" t="s">
        <v>276</v>
      </c>
      <c r="D243" s="4" t="s">
        <v>1116</v>
      </c>
      <c r="E243" s="4" t="s">
        <v>169</v>
      </c>
      <c r="F243" s="5" t="n">
        <v>4.77</v>
      </c>
      <c r="G243" s="5" t="n">
        <v>5.73</v>
      </c>
      <c r="H243" s="15" t="n">
        <f aca="false">IF(OR(F243="",F243=0),"",(G243-F243)/F243)</f>
        <v>0.20125786163522</v>
      </c>
      <c r="I243" s="13" t="n">
        <v>227</v>
      </c>
    </row>
    <row r="244" customFormat="false" ht="21.75" hidden="false" customHeight="true" outlineLevel="0" collapsed="false">
      <c r="B244" s="7" t="s">
        <v>1184</v>
      </c>
      <c r="C244" s="7" t="s">
        <v>279</v>
      </c>
      <c r="D244" s="7" t="s">
        <v>1116</v>
      </c>
      <c r="E244" s="7" t="s">
        <v>169</v>
      </c>
      <c r="F244" s="8" t="n">
        <v>3.43</v>
      </c>
      <c r="G244" s="8" t="n">
        <v>4.12</v>
      </c>
      <c r="H244" s="16" t="n">
        <f aca="false">IF(OR(F244="",F244=0),"",(G244-F244)/F244)</f>
        <v>0.201166180758017</v>
      </c>
      <c r="I244" s="14" t="n">
        <v>16</v>
      </c>
    </row>
    <row r="245" customFormat="false" ht="21.75" hidden="false" customHeight="true" outlineLevel="0" collapsed="false">
      <c r="B245" s="4" t="s">
        <v>1185</v>
      </c>
      <c r="C245" s="4" t="s">
        <v>514</v>
      </c>
      <c r="D245" s="4" t="s">
        <v>920</v>
      </c>
      <c r="E245" s="4" t="s">
        <v>169</v>
      </c>
      <c r="F245" s="5" t="n">
        <v>1.53</v>
      </c>
      <c r="G245" s="5" t="n">
        <v>1.96</v>
      </c>
      <c r="H245" s="15" t="n">
        <f aca="false">IF(OR(F245="",F245=0),"",(G245-F245)/F245)</f>
        <v>0.281045751633987</v>
      </c>
      <c r="I245" s="13" t="n">
        <v>3</v>
      </c>
    </row>
    <row r="246" customFormat="false" ht="21.75" hidden="false" customHeight="true" outlineLevel="0" collapsed="false">
      <c r="B246" s="7" t="s">
        <v>812</v>
      </c>
      <c r="C246" s="7" t="s">
        <v>813</v>
      </c>
      <c r="D246" s="7" t="s">
        <v>69</v>
      </c>
      <c r="E246" s="7" t="s">
        <v>169</v>
      </c>
      <c r="F246" s="8" t="n">
        <v>8</v>
      </c>
      <c r="G246" s="8" t="n">
        <v>9.6</v>
      </c>
      <c r="H246" s="16" t="n">
        <f aca="false">IF(OR(F246="",F246=0),"",(G246-F246)/F246)</f>
        <v>0.2</v>
      </c>
      <c r="I246" s="14" t="n">
        <v>3</v>
      </c>
    </row>
    <row r="247" customFormat="false" ht="21.75" hidden="false" customHeight="true" outlineLevel="0" collapsed="false">
      <c r="B247" s="4" t="s">
        <v>886</v>
      </c>
      <c r="C247" s="4" t="s">
        <v>887</v>
      </c>
      <c r="D247" s="4" t="s">
        <v>69</v>
      </c>
      <c r="E247" s="4" t="s">
        <v>202</v>
      </c>
      <c r="F247" s="5" t="n">
        <v>10</v>
      </c>
      <c r="G247" s="5" t="n">
        <v>12</v>
      </c>
      <c r="H247" s="15" t="n">
        <f aca="false">IF(OR(F247="",F247=0),"",(G247-F247)/F247)</f>
        <v>0.2</v>
      </c>
      <c r="I247" s="13" t="n">
        <v>1</v>
      </c>
    </row>
    <row r="248" customFormat="false" ht="21.75" hidden="false" customHeight="true" outlineLevel="0" collapsed="false">
      <c r="B248" s="7" t="s">
        <v>281</v>
      </c>
      <c r="C248" s="7" t="s">
        <v>282</v>
      </c>
      <c r="D248" s="7" t="s">
        <v>1116</v>
      </c>
      <c r="E248" s="7" t="s">
        <v>202</v>
      </c>
      <c r="F248" s="8" t="n">
        <v>0.7</v>
      </c>
      <c r="G248" s="8" t="n">
        <v>0.9</v>
      </c>
      <c r="H248" s="16" t="n">
        <f aca="false">IF(OR(F248="",F248=0),"",(G248-F248)/F248)</f>
        <v>0.285714285714286</v>
      </c>
      <c r="I248" s="14" t="n">
        <v>35</v>
      </c>
    </row>
    <row r="249" customFormat="false" ht="21.75" hidden="false" customHeight="true" outlineLevel="0" collapsed="false">
      <c r="B249" s="4" t="s">
        <v>1186</v>
      </c>
      <c r="C249" s="4" t="s">
        <v>533</v>
      </c>
      <c r="D249" s="4" t="s">
        <v>69</v>
      </c>
      <c r="E249" s="4" t="s">
        <v>169</v>
      </c>
      <c r="F249" s="5" t="n">
        <v>15.2</v>
      </c>
      <c r="G249" s="5" t="n">
        <v>18.24</v>
      </c>
      <c r="H249" s="15" t="n">
        <f aca="false">IF(OR(F249="",F249=0),"",(G249-F249)/F249)</f>
        <v>0.2</v>
      </c>
      <c r="I249" s="13" t="n">
        <v>47</v>
      </c>
    </row>
    <row r="250" customFormat="false" ht="21.75" hidden="false" customHeight="true" outlineLevel="0" collapsed="false">
      <c r="B250" s="7" t="s">
        <v>1187</v>
      </c>
      <c r="C250" s="7" t="s">
        <v>581</v>
      </c>
      <c r="D250" s="7" t="s">
        <v>69</v>
      </c>
      <c r="E250" s="7" t="s">
        <v>169</v>
      </c>
      <c r="F250" s="8" t="n">
        <v>0.77</v>
      </c>
      <c r="G250" s="8" t="n">
        <v>0.99</v>
      </c>
      <c r="H250" s="16" t="n">
        <f aca="false">IF(OR(F250="",F250=0),"",(G250-F250)/F250)</f>
        <v>0.285714285714286</v>
      </c>
      <c r="I250" s="14" t="n">
        <v>6</v>
      </c>
    </row>
    <row r="251" customFormat="false" ht="21.75" hidden="false" customHeight="true" outlineLevel="0" collapsed="false">
      <c r="B251" s="4" t="s">
        <v>1188</v>
      </c>
      <c r="C251" s="4" t="s">
        <v>1189</v>
      </c>
      <c r="D251" s="4" t="s">
        <v>69</v>
      </c>
      <c r="E251" s="4" t="s">
        <v>169</v>
      </c>
      <c r="F251" s="5" t="n">
        <v>5.72</v>
      </c>
      <c r="G251" s="5" t="n">
        <v>6.87</v>
      </c>
      <c r="H251" s="15" t="n">
        <f aca="false">IF(OR(F251="",F251=0),"",(G251-F251)/F251)</f>
        <v>0.201048951048951</v>
      </c>
      <c r="I251" s="13" t="n">
        <v>2</v>
      </c>
    </row>
    <row r="252" customFormat="false" ht="21.75" hidden="false" customHeight="true" outlineLevel="0" collapsed="false">
      <c r="B252" s="7" t="s">
        <v>1190</v>
      </c>
      <c r="C252" s="7" t="s">
        <v>588</v>
      </c>
      <c r="D252" s="7" t="s">
        <v>69</v>
      </c>
      <c r="E252" s="7" t="s">
        <v>169</v>
      </c>
      <c r="F252" s="8" t="n">
        <v>1.91</v>
      </c>
      <c r="G252" s="8" t="n">
        <v>2.45</v>
      </c>
      <c r="H252" s="16" t="n">
        <f aca="false">IF(OR(F252="",F252=0),"",(G252-F252)/F252)</f>
        <v>0.282722513089005</v>
      </c>
      <c r="I252" s="14" t="n">
        <v>0</v>
      </c>
    </row>
    <row r="253" customFormat="false" ht="21.75" hidden="false" customHeight="true" outlineLevel="0" collapsed="false">
      <c r="B253" s="4" t="s">
        <v>1191</v>
      </c>
      <c r="C253" s="4" t="s">
        <v>1192</v>
      </c>
      <c r="D253" s="4" t="s">
        <v>69</v>
      </c>
      <c r="E253" s="4" t="s">
        <v>169</v>
      </c>
      <c r="F253" s="5" t="n">
        <v>2.67</v>
      </c>
      <c r="G253" s="5" t="n">
        <v>3.21</v>
      </c>
      <c r="H253" s="15" t="n">
        <f aca="false">IF(OR(F253="",F253=0),"",(G253-F253)/F253)</f>
        <v>0.202247191011236</v>
      </c>
      <c r="I253" s="13" t="n">
        <v>3</v>
      </c>
    </row>
    <row r="254" customFormat="false" ht="21.75" hidden="false" customHeight="true" outlineLevel="0" collapsed="false">
      <c r="B254" s="7" t="s">
        <v>1193</v>
      </c>
      <c r="C254" s="7" t="s">
        <v>591</v>
      </c>
      <c r="D254" s="7" t="s">
        <v>69</v>
      </c>
      <c r="E254" s="7" t="s">
        <v>169</v>
      </c>
      <c r="F254" s="8" t="n">
        <v>0.58</v>
      </c>
      <c r="G254" s="8" t="n">
        <v>0.75</v>
      </c>
      <c r="H254" s="16" t="n">
        <f aca="false">IF(OR(F254="",F254=0),"",(G254-F254)/F254)</f>
        <v>0.293103448275862</v>
      </c>
      <c r="I254" s="14" t="n">
        <v>4</v>
      </c>
    </row>
    <row r="255" customFormat="false" ht="21.75" hidden="false" customHeight="true" outlineLevel="0" collapsed="false">
      <c r="B255" s="4" t="s">
        <v>1194</v>
      </c>
      <c r="C255" s="4" t="s">
        <v>626</v>
      </c>
      <c r="D255" s="4" t="s">
        <v>69</v>
      </c>
      <c r="E255" s="4" t="s">
        <v>169</v>
      </c>
      <c r="F255" s="5" t="n">
        <v>0.58</v>
      </c>
      <c r="G255" s="5" t="n">
        <v>0.75</v>
      </c>
      <c r="H255" s="15" t="n">
        <f aca="false">IF(OR(F255="",F255=0),"",(G255-F255)/F255)</f>
        <v>0.293103448275862</v>
      </c>
      <c r="I255" s="13" t="n">
        <v>3</v>
      </c>
    </row>
    <row r="256" customFormat="false" ht="21.75" hidden="false" customHeight="true" outlineLevel="0" collapsed="false">
      <c r="B256" s="7" t="s">
        <v>761</v>
      </c>
      <c r="C256" s="7" t="s">
        <v>762</v>
      </c>
      <c r="D256" s="7" t="s">
        <v>69</v>
      </c>
      <c r="E256" s="7" t="s">
        <v>202</v>
      </c>
      <c r="F256" s="8" t="n">
        <v>15</v>
      </c>
      <c r="G256" s="8" t="n">
        <v>18</v>
      </c>
      <c r="H256" s="16" t="n">
        <f aca="false">IF(OR(F256="",F256=0),"",(G256-F256)/F256)</f>
        <v>0.2</v>
      </c>
      <c r="I256" s="14" t="n">
        <v>1</v>
      </c>
    </row>
    <row r="257" customFormat="false" ht="21.75" hidden="false" customHeight="true" outlineLevel="0" collapsed="false">
      <c r="B257" s="4" t="s">
        <v>765</v>
      </c>
      <c r="C257" s="4" t="s">
        <v>766</v>
      </c>
      <c r="D257" s="4" t="s">
        <v>69</v>
      </c>
      <c r="E257" s="4" t="s">
        <v>202</v>
      </c>
      <c r="F257" s="5" t="n">
        <v>1.8</v>
      </c>
      <c r="G257" s="5" t="n">
        <v>2.25</v>
      </c>
      <c r="H257" s="15" t="n">
        <f aca="false">IF(OR(F257="",F257=0),"",(G257-F257)/F257)</f>
        <v>0.25</v>
      </c>
      <c r="I257" s="13" t="n">
        <v>39</v>
      </c>
    </row>
    <row r="258" customFormat="false" ht="21.75" hidden="false" customHeight="true" outlineLevel="0" collapsed="false">
      <c r="B258" s="7" t="s">
        <v>1195</v>
      </c>
      <c r="C258" s="7" t="s">
        <v>1196</v>
      </c>
      <c r="D258" s="7" t="s">
        <v>69</v>
      </c>
      <c r="E258" s="7" t="s">
        <v>169</v>
      </c>
      <c r="F258" s="8" t="n">
        <v>7.24</v>
      </c>
      <c r="G258" s="8" t="n">
        <v>8.69</v>
      </c>
      <c r="H258" s="16" t="n">
        <f aca="false">IF(OR(F258="",F258=0),"",(G258-F258)/F258)</f>
        <v>0.200276243093923</v>
      </c>
      <c r="I258" s="14" t="n">
        <v>10</v>
      </c>
    </row>
    <row r="259" customFormat="false" ht="21.75" hidden="false" customHeight="true" outlineLevel="0" collapsed="false">
      <c r="B259" s="4" t="s">
        <v>1197</v>
      </c>
      <c r="C259" s="4" t="s">
        <v>1198</v>
      </c>
      <c r="D259" s="4" t="s">
        <v>69</v>
      </c>
      <c r="E259" s="4" t="s">
        <v>202</v>
      </c>
      <c r="F259" s="5" t="n">
        <v>1.5</v>
      </c>
      <c r="G259" s="5" t="n">
        <v>2.3</v>
      </c>
      <c r="H259" s="15" t="n">
        <f aca="false">IF(OR(F259="",F259=0),"",(G259-F259)/F259)</f>
        <v>0.533333333333333</v>
      </c>
      <c r="I259" s="13" t="n">
        <v>9</v>
      </c>
    </row>
    <row r="260" customFormat="false" ht="21.75" hidden="false" customHeight="true" outlineLevel="0" collapsed="false">
      <c r="B260" s="7" t="s">
        <v>768</v>
      </c>
      <c r="C260" s="7" t="s">
        <v>769</v>
      </c>
      <c r="D260" s="7" t="s">
        <v>69</v>
      </c>
      <c r="E260" s="7" t="s">
        <v>169</v>
      </c>
      <c r="F260" s="8" t="n">
        <v>1.1</v>
      </c>
      <c r="G260" s="8" t="n">
        <v>1.41</v>
      </c>
      <c r="H260" s="16" t="n">
        <f aca="false">IF(OR(F260="",F260=0),"",(G260-F260)/F260)</f>
        <v>0.281818181818182</v>
      </c>
      <c r="I260" s="14" t="n">
        <v>22</v>
      </c>
    </row>
    <row r="261" customFormat="false" ht="21.75" hidden="false" customHeight="true" outlineLevel="0" collapsed="false">
      <c r="B261" s="4" t="s">
        <v>1199</v>
      </c>
      <c r="C261" s="4" t="s">
        <v>1200</v>
      </c>
      <c r="D261" s="4" t="s">
        <v>69</v>
      </c>
      <c r="E261" s="4" t="s">
        <v>169</v>
      </c>
      <c r="F261" s="5" t="n">
        <v>6.86</v>
      </c>
      <c r="G261" s="5" t="n">
        <v>8.24</v>
      </c>
      <c r="H261" s="15" t="n">
        <f aca="false">IF(OR(F261="",F261=0),"",(G261-F261)/F261)</f>
        <v>0.201166180758017</v>
      </c>
      <c r="I261" s="13" t="n">
        <v>4</v>
      </c>
    </row>
    <row r="262" customFormat="false" ht="21.75" hidden="false" customHeight="true" outlineLevel="0" collapsed="false">
      <c r="B262" s="7" t="s">
        <v>1201</v>
      </c>
      <c r="C262" s="7" t="s">
        <v>285</v>
      </c>
      <c r="D262" s="7" t="s">
        <v>1116</v>
      </c>
      <c r="E262" s="7" t="s">
        <v>169</v>
      </c>
      <c r="F262" s="8" t="n">
        <v>0.96</v>
      </c>
      <c r="G262" s="8" t="n">
        <v>1.23</v>
      </c>
      <c r="H262" s="16" t="n">
        <f aca="false">IF(OR(F262="",F262=0),"",(G262-F262)/F262)</f>
        <v>0.28125</v>
      </c>
      <c r="I262" s="14" t="n">
        <v>0</v>
      </c>
    </row>
    <row r="263" customFormat="false" ht="21.75" hidden="false" customHeight="true" outlineLevel="0" collapsed="false">
      <c r="B263" s="4" t="s">
        <v>1202</v>
      </c>
      <c r="C263" s="4" t="s">
        <v>796</v>
      </c>
      <c r="D263" s="4" t="s">
        <v>1116</v>
      </c>
      <c r="E263" s="4" t="s">
        <v>169</v>
      </c>
      <c r="F263" s="5" t="n">
        <v>4.19</v>
      </c>
      <c r="G263" s="5" t="n">
        <v>5.03</v>
      </c>
      <c r="H263" s="15" t="n">
        <f aca="false">IF(OR(F263="",F263=0),"",(G263-F263)/F263)</f>
        <v>0.200477326968974</v>
      </c>
      <c r="I263" s="13" t="n">
        <v>25</v>
      </c>
    </row>
    <row r="264" customFormat="false" ht="21.75" hidden="false" customHeight="true" outlineLevel="0" collapsed="false">
      <c r="B264" s="7" t="s">
        <v>1203</v>
      </c>
      <c r="C264" s="7" t="s">
        <v>799</v>
      </c>
      <c r="D264" s="7" t="s">
        <v>1116</v>
      </c>
      <c r="E264" s="7" t="s">
        <v>169</v>
      </c>
      <c r="F264" s="8" t="n">
        <v>79.97</v>
      </c>
      <c r="G264" s="8" t="n">
        <v>95.97</v>
      </c>
      <c r="H264" s="16" t="n">
        <f aca="false">IF(OR(F264="",F264=0),"",(G264-F264)/F264)</f>
        <v>0.200075028135551</v>
      </c>
      <c r="I264" s="14" t="n">
        <v>9</v>
      </c>
    </row>
    <row r="265" customFormat="false" ht="21.75" hidden="false" customHeight="true" outlineLevel="0" collapsed="false">
      <c r="B265" s="4" t="s">
        <v>1204</v>
      </c>
      <c r="C265" s="4" t="s">
        <v>802</v>
      </c>
      <c r="D265" s="4" t="s">
        <v>1116</v>
      </c>
      <c r="E265" s="4" t="s">
        <v>169</v>
      </c>
      <c r="F265" s="5" t="n">
        <v>19.05</v>
      </c>
      <c r="G265" s="5" t="n">
        <v>22.86</v>
      </c>
      <c r="H265" s="15" t="n">
        <f aca="false">IF(OR(F265="",F265=0),"",(G265-F265)/F265)</f>
        <v>0.2</v>
      </c>
      <c r="I265" s="13" t="n">
        <v>7</v>
      </c>
    </row>
    <row r="266" customFormat="false" ht="21.75" hidden="false" customHeight="true" outlineLevel="0" collapsed="false">
      <c r="B266" s="7" t="s">
        <v>1205</v>
      </c>
      <c r="C266" s="7" t="s">
        <v>805</v>
      </c>
      <c r="D266" s="7" t="s">
        <v>1116</v>
      </c>
      <c r="E266" s="7" t="s">
        <v>169</v>
      </c>
      <c r="F266" s="8" t="n">
        <v>10.67</v>
      </c>
      <c r="G266" s="8" t="n">
        <v>12.81</v>
      </c>
      <c r="H266" s="16" t="n">
        <f aca="false">IF(OR(F266="",F266=0),"",(G266-F266)/F266)</f>
        <v>0.200562324273665</v>
      </c>
      <c r="I266" s="14" t="n">
        <v>67</v>
      </c>
    </row>
    <row r="267" customFormat="false" ht="21.75" hidden="false" customHeight="true" outlineLevel="0" collapsed="false">
      <c r="B267" s="4" t="s">
        <v>1206</v>
      </c>
      <c r="C267" s="4" t="s">
        <v>692</v>
      </c>
      <c r="D267" s="4" t="s">
        <v>918</v>
      </c>
      <c r="E267" s="4" t="s">
        <v>169</v>
      </c>
      <c r="F267" s="5" t="n">
        <v>1.34</v>
      </c>
      <c r="G267" s="5" t="n">
        <v>1.72</v>
      </c>
      <c r="H267" s="15" t="n">
        <f aca="false">IF(OR(F267="",F267=0),"",(G267-F267)/F267)</f>
        <v>0.283582089552239</v>
      </c>
      <c r="I267" s="13" t="n">
        <v>205</v>
      </c>
    </row>
    <row r="268" customFormat="false" ht="21.75" hidden="false" customHeight="true" outlineLevel="0" collapsed="false">
      <c r="B268" s="7" t="s">
        <v>1207</v>
      </c>
      <c r="C268" s="7" t="s">
        <v>718</v>
      </c>
      <c r="D268" s="7" t="s">
        <v>1208</v>
      </c>
      <c r="E268" s="7" t="s">
        <v>169</v>
      </c>
      <c r="F268" s="8" t="n">
        <v>0.02</v>
      </c>
      <c r="G268" s="8" t="n">
        <v>0.03</v>
      </c>
      <c r="H268" s="16" t="n">
        <f aca="false">IF(OR(F268="",F268=0),"",(G268-F268)/F268)</f>
        <v>0.5</v>
      </c>
      <c r="I268" s="14" t="n">
        <v>641</v>
      </c>
    </row>
    <row r="269" customFormat="false" ht="21.75" hidden="false" customHeight="true" outlineLevel="0" collapsed="false">
      <c r="B269" s="4" t="s">
        <v>1209</v>
      </c>
      <c r="C269" s="4" t="s">
        <v>890</v>
      </c>
      <c r="D269" s="4" t="s">
        <v>69</v>
      </c>
      <c r="E269" s="4" t="s">
        <v>169</v>
      </c>
      <c r="F269" s="5" t="n">
        <v>0.58</v>
      </c>
      <c r="G269" s="5" t="n">
        <v>0.75</v>
      </c>
      <c r="H269" s="15" t="n">
        <f aca="false">IF(OR(F269="",F269=0),"",(G269-F269)/F269)</f>
        <v>0.293103448275862</v>
      </c>
      <c r="I269" s="13" t="n">
        <v>8</v>
      </c>
    </row>
    <row r="270" customFormat="false" ht="21.75" hidden="false" customHeight="true" outlineLevel="0" collapsed="false">
      <c r="B270" s="7" t="s">
        <v>1210</v>
      </c>
      <c r="C270" s="7" t="s">
        <v>629</v>
      </c>
      <c r="D270" s="7" t="s">
        <v>69</v>
      </c>
      <c r="E270" s="7" t="s">
        <v>169</v>
      </c>
      <c r="F270" s="8" t="n">
        <v>0.58</v>
      </c>
      <c r="G270" s="8" t="n">
        <v>0.75</v>
      </c>
      <c r="H270" s="16" t="n">
        <f aca="false">IF(OR(F270="",F270=0),"",(G270-F270)/F270)</f>
        <v>0.293103448275862</v>
      </c>
      <c r="I270" s="14" t="n">
        <v>1</v>
      </c>
    </row>
    <row r="271" customFormat="false" ht="21.75" hidden="false" customHeight="true" outlineLevel="0" collapsed="false">
      <c r="B271" s="4" t="s">
        <v>1211</v>
      </c>
      <c r="C271" s="4" t="s">
        <v>632</v>
      </c>
      <c r="D271" s="4" t="s">
        <v>69</v>
      </c>
      <c r="E271" s="4" t="s">
        <v>169</v>
      </c>
      <c r="F271" s="5" t="n">
        <v>0.58</v>
      </c>
      <c r="G271" s="5" t="n">
        <v>0.75</v>
      </c>
      <c r="H271" s="15" t="n">
        <f aca="false">IF(OR(F271="",F271=0),"",(G271-F271)/F271)</f>
        <v>0.293103448275862</v>
      </c>
      <c r="I271" s="13" t="n">
        <v>1</v>
      </c>
    </row>
    <row r="272" customFormat="false" ht="21.75" hidden="false" customHeight="true" outlineLevel="0" collapsed="false">
      <c r="B272" s="7" t="s">
        <v>892</v>
      </c>
      <c r="C272" s="7" t="s">
        <v>893</v>
      </c>
      <c r="D272" s="7" t="s">
        <v>69</v>
      </c>
      <c r="E272" s="7" t="s">
        <v>202</v>
      </c>
      <c r="F272" s="8" t="n">
        <v>10</v>
      </c>
      <c r="G272" s="8" t="n">
        <v>12</v>
      </c>
      <c r="H272" s="16" t="n">
        <f aca="false">IF(OR(F272="",F272=0),"",(G272-F272)/F272)</f>
        <v>0.2</v>
      </c>
      <c r="I272" s="14" t="n">
        <v>1</v>
      </c>
    </row>
    <row r="273" customFormat="false" ht="21.75" hidden="false" customHeight="true" outlineLevel="0" collapsed="false">
      <c r="B273" s="4" t="s">
        <v>1212</v>
      </c>
      <c r="C273" s="4" t="s">
        <v>896</v>
      </c>
      <c r="D273" s="4" t="s">
        <v>69</v>
      </c>
      <c r="E273" s="4" t="s">
        <v>169</v>
      </c>
      <c r="F273" s="5" t="n">
        <v>1.88</v>
      </c>
      <c r="G273" s="5" t="n">
        <v>2.41</v>
      </c>
      <c r="H273" s="15" t="n">
        <f aca="false">IF(OR(F273="",F273=0),"",(G273-F273)/F273)</f>
        <v>0.281914893617021</v>
      </c>
      <c r="I273" s="13" t="n">
        <v>6</v>
      </c>
    </row>
    <row r="274" customFormat="false" ht="21.75" hidden="false" customHeight="true" outlineLevel="0" collapsed="false">
      <c r="B274" s="7" t="s">
        <v>1213</v>
      </c>
      <c r="C274" s="7" t="s">
        <v>807</v>
      </c>
      <c r="D274" s="7" t="s">
        <v>69</v>
      </c>
      <c r="E274" s="7" t="s">
        <v>169</v>
      </c>
      <c r="F274" s="8" t="n">
        <v>2.29</v>
      </c>
      <c r="G274" s="8" t="n">
        <v>2.75</v>
      </c>
      <c r="H274" s="16" t="n">
        <f aca="false">IF(OR(F274="",F274=0),"",(G274-F274)/F274)</f>
        <v>0.200873362445415</v>
      </c>
      <c r="I274" s="14" t="n">
        <v>346</v>
      </c>
    </row>
    <row r="275" customFormat="false" ht="21.75" hidden="false" customHeight="true" outlineLevel="0" collapsed="false">
      <c r="B275" s="4" t="s">
        <v>1214</v>
      </c>
      <c r="C275" s="4" t="s">
        <v>635</v>
      </c>
      <c r="D275" s="4" t="s">
        <v>69</v>
      </c>
      <c r="E275" s="4" t="s">
        <v>169</v>
      </c>
      <c r="F275" s="5" t="n">
        <v>0.58</v>
      </c>
      <c r="G275" s="5" t="n">
        <v>0.75</v>
      </c>
      <c r="H275" s="15" t="n">
        <f aca="false">IF(OR(F275="",F275=0),"",(G275-F275)/F275)</f>
        <v>0.293103448275862</v>
      </c>
      <c r="I275" s="13" t="n">
        <v>1</v>
      </c>
    </row>
    <row r="276" customFormat="false" ht="21.75" hidden="false" customHeight="true" outlineLevel="0" collapsed="false">
      <c r="B276" s="7" t="s">
        <v>757</v>
      </c>
      <c r="C276" s="7" t="s">
        <v>758</v>
      </c>
      <c r="D276" s="7" t="s">
        <v>69</v>
      </c>
      <c r="E276" s="7" t="s">
        <v>202</v>
      </c>
      <c r="F276" s="8" t="n">
        <v>1.4</v>
      </c>
      <c r="G276" s="8" t="n">
        <v>1.8</v>
      </c>
      <c r="H276" s="16" t="n">
        <f aca="false">IF(OR(F276="",F276=0),"",(G276-F276)/F276)</f>
        <v>0.285714285714286</v>
      </c>
      <c r="I276" s="14" t="n">
        <v>14</v>
      </c>
    </row>
    <row r="277" customFormat="false" ht="21.75" hidden="false" customHeight="true" outlineLevel="0" collapsed="false">
      <c r="B277" s="4" t="s">
        <v>1215</v>
      </c>
      <c r="C277" s="4" t="s">
        <v>701</v>
      </c>
      <c r="D277" s="4" t="s">
        <v>69</v>
      </c>
      <c r="E277" s="4" t="s">
        <v>169</v>
      </c>
      <c r="F277" s="5" t="n">
        <v>1.15</v>
      </c>
      <c r="G277" s="5" t="n">
        <v>1.48</v>
      </c>
      <c r="H277" s="15" t="n">
        <f aca="false">IF(OR(F277="",F277=0),"",(G277-F277)/F277)</f>
        <v>0.286956521739131</v>
      </c>
      <c r="I277" s="13" t="n">
        <v>1</v>
      </c>
    </row>
    <row r="278" customFormat="false" ht="21.75" hidden="false" customHeight="true" outlineLevel="0" collapsed="false">
      <c r="B278" s="7" t="s">
        <v>1216</v>
      </c>
      <c r="C278" s="7" t="s">
        <v>705</v>
      </c>
      <c r="D278" s="7" t="s">
        <v>69</v>
      </c>
      <c r="E278" s="7" t="s">
        <v>169</v>
      </c>
      <c r="F278" s="8" t="n">
        <v>4.57</v>
      </c>
      <c r="G278" s="8" t="n">
        <v>5.49</v>
      </c>
      <c r="H278" s="16" t="n">
        <f aca="false">IF(OR(F278="",F278=0),"",(G278-F278)/F278)</f>
        <v>0.201312910284464</v>
      </c>
      <c r="I278" s="14" t="n">
        <v>174</v>
      </c>
    </row>
    <row r="279" customFormat="false" ht="21.75" hidden="false" customHeight="true" outlineLevel="0" collapsed="false">
      <c r="B279" s="4" t="s">
        <v>1217</v>
      </c>
      <c r="C279" s="4" t="s">
        <v>708</v>
      </c>
      <c r="D279" s="4" t="s">
        <v>69</v>
      </c>
      <c r="E279" s="4" t="s">
        <v>169</v>
      </c>
      <c r="F279" s="5" t="n">
        <v>1.15</v>
      </c>
      <c r="G279" s="5" t="n">
        <v>1.48</v>
      </c>
      <c r="H279" s="15" t="n">
        <f aca="false">IF(OR(F279="",F279=0),"",(G279-F279)/F279)</f>
        <v>0.286956521739131</v>
      </c>
      <c r="I279" s="13" t="n">
        <v>1</v>
      </c>
    </row>
    <row r="280" customFormat="false" ht="21.75" hidden="false" customHeight="true" outlineLevel="0" collapsed="false">
      <c r="B280" s="7" t="s">
        <v>1218</v>
      </c>
      <c r="C280" s="7" t="s">
        <v>810</v>
      </c>
      <c r="D280" s="7" t="s">
        <v>918</v>
      </c>
      <c r="E280" s="7" t="s">
        <v>169</v>
      </c>
      <c r="F280" s="8" t="n">
        <v>15.2</v>
      </c>
      <c r="G280" s="8" t="n">
        <v>18.24</v>
      </c>
      <c r="H280" s="16" t="n">
        <f aca="false">IF(OR(F280="",F280=0),"",(G280-F280)/F280)</f>
        <v>0.2</v>
      </c>
      <c r="I280" s="14" t="n">
        <v>47</v>
      </c>
    </row>
    <row r="281" customFormat="false" ht="21.75" hidden="false" customHeight="true" outlineLevel="0" collapsed="false">
      <c r="B281" s="4" t="s">
        <v>1219</v>
      </c>
      <c r="C281" s="4" t="s">
        <v>1220</v>
      </c>
      <c r="D281" s="4" t="s">
        <v>918</v>
      </c>
      <c r="E281" s="4" t="s">
        <v>169</v>
      </c>
      <c r="F281" s="5" t="n">
        <v>17.14</v>
      </c>
      <c r="G281" s="5" t="n">
        <v>20.57</v>
      </c>
      <c r="H281" s="15" t="n">
        <f aca="false">IF(OR(F281="",F281=0),"",(G281-F281)/F281)</f>
        <v>0.200116686114352</v>
      </c>
      <c r="I281" s="13" t="n">
        <v>0</v>
      </c>
    </row>
    <row r="282" customFormat="false" ht="21.75" hidden="false" customHeight="true" outlineLevel="0" collapsed="false">
      <c r="B282" s="7" t="s">
        <v>1221</v>
      </c>
      <c r="C282" s="7" t="s">
        <v>1220</v>
      </c>
      <c r="D282" s="7" t="s">
        <v>918</v>
      </c>
      <c r="E282" s="7" t="s">
        <v>169</v>
      </c>
      <c r="F282" s="8" t="n">
        <v>17.35</v>
      </c>
      <c r="G282" s="8" t="n">
        <v>20.82</v>
      </c>
      <c r="H282" s="16" t="n">
        <f aca="false">IF(OR(F282="",F282=0),"",(G282-F282)/F282)</f>
        <v>0.2</v>
      </c>
      <c r="I282" s="14" t="n">
        <v>0</v>
      </c>
    </row>
    <row r="283" customFormat="false" ht="21.75" hidden="false" customHeight="true" outlineLevel="0" collapsed="false">
      <c r="B283" s="4" t="s">
        <v>199</v>
      </c>
      <c r="C283" s="4" t="s">
        <v>200</v>
      </c>
      <c r="D283" s="4" t="s">
        <v>69</v>
      </c>
      <c r="E283" s="4" t="s">
        <v>202</v>
      </c>
      <c r="F283" s="5" t="n">
        <v>20</v>
      </c>
      <c r="G283" s="5" t="n">
        <v>24</v>
      </c>
      <c r="H283" s="15" t="n">
        <f aca="false">IF(OR(F283="",F283=0),"",(G283-F283)/F283)</f>
        <v>0.2</v>
      </c>
      <c r="I283" s="13" t="n">
        <v>1</v>
      </c>
    </row>
    <row r="284" customFormat="false" ht="21.75" hidden="false" customHeight="true" outlineLevel="0" collapsed="false">
      <c r="B284" s="7" t="s">
        <v>1222</v>
      </c>
      <c r="C284" s="7" t="s">
        <v>1223</v>
      </c>
      <c r="D284" s="7" t="s">
        <v>69</v>
      </c>
      <c r="E284" s="7" t="s">
        <v>202</v>
      </c>
      <c r="F284" s="8" t="n">
        <v>15</v>
      </c>
      <c r="G284" s="8" t="n">
        <v>18</v>
      </c>
      <c r="H284" s="16" t="n">
        <f aca="false">IF(OR(F284="",F284=0),"",(G284-F284)/F284)</f>
        <v>0.2</v>
      </c>
      <c r="I284" s="14" t="n">
        <v>0</v>
      </c>
    </row>
    <row r="285" customFormat="false" ht="21.75" hidden="false" customHeight="true" outlineLevel="0" collapsed="false">
      <c r="B285" s="4" t="s">
        <v>1224</v>
      </c>
      <c r="C285" s="4" t="s">
        <v>1225</v>
      </c>
      <c r="D285" s="4" t="s">
        <v>920</v>
      </c>
      <c r="E285" s="4" t="s">
        <v>169</v>
      </c>
      <c r="F285" s="5" t="n">
        <v>22.85</v>
      </c>
      <c r="G285" s="5" t="n">
        <v>27.42</v>
      </c>
      <c r="H285" s="15" t="n">
        <f aca="false">IF(OR(F285="",F285=0),"",(G285-F285)/F285)</f>
        <v>0.2</v>
      </c>
      <c r="I285" s="13" t="n">
        <v>0</v>
      </c>
    </row>
    <row r="286" customFormat="false" ht="21.75" hidden="false" customHeight="true" outlineLevel="0" collapsed="false">
      <c r="B286" s="7" t="s">
        <v>1226</v>
      </c>
      <c r="C286" s="7" t="s">
        <v>1227</v>
      </c>
      <c r="D286" s="7" t="s">
        <v>920</v>
      </c>
      <c r="E286" s="7" t="s">
        <v>169</v>
      </c>
      <c r="F286" s="8" t="n">
        <v>17.14</v>
      </c>
      <c r="G286" s="8" t="n">
        <v>20.57</v>
      </c>
      <c r="H286" s="16" t="n">
        <f aca="false">IF(OR(F286="",F286=0),"",(G286-F286)/F286)</f>
        <v>0.200116686114352</v>
      </c>
      <c r="I286" s="14" t="n">
        <v>0</v>
      </c>
    </row>
    <row r="287" customFormat="false" ht="21.75" hidden="false" customHeight="true" outlineLevel="0" collapsed="false">
      <c r="B287" s="4" t="s">
        <v>1228</v>
      </c>
      <c r="C287" s="4" t="s">
        <v>1229</v>
      </c>
      <c r="D287" s="4" t="s">
        <v>920</v>
      </c>
      <c r="E287" s="4" t="s">
        <v>169</v>
      </c>
      <c r="F287" s="5" t="n">
        <v>26.66</v>
      </c>
      <c r="G287" s="5" t="n">
        <v>32</v>
      </c>
      <c r="H287" s="15" t="n">
        <f aca="false">IF(OR(F287="",F287=0),"",(G287-F287)/F287)</f>
        <v>0.200300075018755</v>
      </c>
      <c r="I287" s="13" t="n">
        <v>0</v>
      </c>
    </row>
    <row r="288" customFormat="false" ht="21.75" hidden="false" customHeight="true" outlineLevel="0" collapsed="false">
      <c r="B288" s="7" t="s">
        <v>1230</v>
      </c>
      <c r="C288" s="7" t="s">
        <v>1231</v>
      </c>
      <c r="D288" s="7" t="s">
        <v>920</v>
      </c>
      <c r="E288" s="7" t="s">
        <v>169</v>
      </c>
      <c r="F288" s="8" t="n">
        <v>28.57</v>
      </c>
      <c r="G288" s="8" t="n">
        <v>34.29</v>
      </c>
      <c r="H288" s="16" t="n">
        <f aca="false">IF(OR(F288="",F288=0),"",(G288-F288)/F288)</f>
        <v>0.200210010500525</v>
      </c>
      <c r="I288" s="14" t="n">
        <v>0</v>
      </c>
    </row>
    <row r="289" customFormat="false" ht="21.75" hidden="false" customHeight="true" outlineLevel="0" collapsed="false">
      <c r="B289" s="4" t="s">
        <v>1232</v>
      </c>
      <c r="C289" s="4" t="s">
        <v>1233</v>
      </c>
      <c r="D289" s="4" t="s">
        <v>920</v>
      </c>
      <c r="E289" s="4" t="s">
        <v>169</v>
      </c>
      <c r="F289" s="5" t="n">
        <v>32.37</v>
      </c>
      <c r="G289" s="5" t="n">
        <v>38.85</v>
      </c>
      <c r="H289" s="15" t="n">
        <f aca="false">IF(OR(F289="",F289=0),"",(G289-F289)/F289)</f>
        <v>0.200185356811863</v>
      </c>
      <c r="I289" s="13" t="n">
        <v>0</v>
      </c>
    </row>
    <row r="290" customFormat="false" ht="21.75" hidden="false" customHeight="true" outlineLevel="0" collapsed="false">
      <c r="B290" s="7" t="s">
        <v>1234</v>
      </c>
      <c r="C290" s="7" t="s">
        <v>1235</v>
      </c>
      <c r="D290" s="7" t="s">
        <v>920</v>
      </c>
      <c r="E290" s="7" t="s">
        <v>169</v>
      </c>
      <c r="F290" s="8" t="n">
        <v>48.37</v>
      </c>
      <c r="G290" s="8" t="n">
        <v>58.05</v>
      </c>
      <c r="H290" s="16" t="n">
        <f aca="false">IF(OR(F290="",F290=0),"",(G290-F290)/F290)</f>
        <v>0.20012404382882</v>
      </c>
      <c r="I290" s="14" t="n">
        <v>0</v>
      </c>
    </row>
    <row r="291" customFormat="false" ht="21.75" hidden="false" customHeight="true" outlineLevel="0" collapsed="false">
      <c r="B291" s="4" t="s">
        <v>1236</v>
      </c>
      <c r="C291" s="4" t="s">
        <v>1237</v>
      </c>
      <c r="D291" s="4" t="s">
        <v>920</v>
      </c>
      <c r="E291" s="4" t="s">
        <v>169</v>
      </c>
      <c r="F291" s="5" t="n">
        <v>25.16</v>
      </c>
      <c r="G291" s="5" t="n">
        <v>30.2</v>
      </c>
      <c r="H291" s="15" t="n">
        <f aca="false">IF(OR(F291="",F291=0),"",(G291-F291)/F291)</f>
        <v>0.200317965023847</v>
      </c>
      <c r="I291" s="13" t="n">
        <v>0</v>
      </c>
    </row>
    <row r="292" customFormat="false" ht="21.75" hidden="false" customHeight="true" outlineLevel="0" collapsed="false">
      <c r="B292" s="7" t="s">
        <v>1238</v>
      </c>
      <c r="C292" s="7" t="s">
        <v>1239</v>
      </c>
      <c r="D292" s="7" t="s">
        <v>920</v>
      </c>
      <c r="E292" s="7" t="s">
        <v>169</v>
      </c>
      <c r="F292" s="8" t="n">
        <v>5.72</v>
      </c>
      <c r="G292" s="8" t="n">
        <v>6.87</v>
      </c>
      <c r="H292" s="16" t="n">
        <f aca="false">IF(OR(F292="",F292=0),"",(G292-F292)/F292)</f>
        <v>0.201048951048951</v>
      </c>
      <c r="I292" s="14" t="n">
        <v>0</v>
      </c>
    </row>
    <row r="293" customFormat="false" ht="21.75" hidden="false" customHeight="true" outlineLevel="0" collapsed="false">
      <c r="B293" s="4" t="s">
        <v>1240</v>
      </c>
      <c r="C293" s="4" t="s">
        <v>841</v>
      </c>
      <c r="D293" s="4" t="s">
        <v>69</v>
      </c>
      <c r="E293" s="4" t="s">
        <v>169</v>
      </c>
      <c r="F293" s="5" t="n">
        <v>1.15</v>
      </c>
      <c r="G293" s="5" t="n">
        <v>1.48</v>
      </c>
      <c r="H293" s="15" t="n">
        <f aca="false">IF(OR(F293="",F293=0),"",(G293-F293)/F293)</f>
        <v>0.286956521739131</v>
      </c>
      <c r="I293" s="13" t="n">
        <v>5</v>
      </c>
    </row>
    <row r="294" customFormat="false" ht="21.75" hidden="false" customHeight="true" outlineLevel="0" collapsed="false">
      <c r="B294" s="7" t="s">
        <v>1241</v>
      </c>
      <c r="C294" s="7" t="s">
        <v>845</v>
      </c>
      <c r="D294" s="7" t="s">
        <v>69</v>
      </c>
      <c r="E294" s="7" t="s">
        <v>169</v>
      </c>
      <c r="F294" s="8" t="n">
        <v>0.2</v>
      </c>
      <c r="G294" s="8" t="n">
        <v>0.3</v>
      </c>
      <c r="H294" s="16" t="n">
        <f aca="false">IF(OR(F294="",F294=0),"",(G294-F294)/F294)</f>
        <v>0.5</v>
      </c>
      <c r="I294" s="14" t="n">
        <v>1</v>
      </c>
    </row>
    <row r="295" customFormat="false" ht="21.75" hidden="false" customHeight="true" outlineLevel="0" collapsed="false">
      <c r="B295" s="4" t="s">
        <v>1242</v>
      </c>
      <c r="C295" s="4" t="s">
        <v>899</v>
      </c>
      <c r="D295" s="4" t="s">
        <v>920</v>
      </c>
      <c r="E295" s="4" t="s">
        <v>169</v>
      </c>
      <c r="F295" s="5" t="n">
        <v>0.12</v>
      </c>
      <c r="G295" s="5" t="n">
        <v>0.18</v>
      </c>
      <c r="H295" s="15" t="n">
        <f aca="false">IF(OR(F295="",F295=0),"",(G295-F295)/F295)</f>
        <v>0.5</v>
      </c>
      <c r="I295" s="13" t="n">
        <v>0</v>
      </c>
    </row>
    <row r="296" customFormat="false" ht="21.75" hidden="false" customHeight="true" outlineLevel="0" collapsed="false">
      <c r="B296" s="7" t="s">
        <v>1243</v>
      </c>
      <c r="C296" s="7" t="s">
        <v>902</v>
      </c>
      <c r="D296" s="7" t="s">
        <v>920</v>
      </c>
      <c r="E296" s="7" t="s">
        <v>169</v>
      </c>
      <c r="F296" s="8" t="n">
        <v>0.32</v>
      </c>
      <c r="G296" s="8" t="n">
        <v>0.41</v>
      </c>
      <c r="H296" s="16" t="n">
        <f aca="false">IF(OR(F296="",F296=0),"",(G296-F296)/F296)</f>
        <v>0.28125</v>
      </c>
      <c r="I296" s="14" t="n">
        <v>49</v>
      </c>
    </row>
    <row r="297" customFormat="false" ht="21.75" hidden="false" customHeight="true" outlineLevel="0" collapsed="false">
      <c r="B297" s="4" t="s">
        <v>1244</v>
      </c>
      <c r="C297" s="4" t="s">
        <v>383</v>
      </c>
      <c r="D297" s="4" t="s">
        <v>69</v>
      </c>
      <c r="E297" s="4" t="s">
        <v>169</v>
      </c>
      <c r="F297" s="5" t="n">
        <v>5.95</v>
      </c>
      <c r="G297" s="5" t="n">
        <v>7.14</v>
      </c>
      <c r="H297" s="15" t="n">
        <f aca="false">IF(OR(F297="",F297=0),"",(G297-F297)/F297)</f>
        <v>0.2</v>
      </c>
      <c r="I297" s="13" t="n">
        <v>138</v>
      </c>
    </row>
    <row r="298" customFormat="false" ht="21.75" hidden="false" customHeight="true" outlineLevel="0" collapsed="false">
      <c r="B298" s="7" t="s">
        <v>1245</v>
      </c>
      <c r="C298" s="7" t="s">
        <v>386</v>
      </c>
      <c r="D298" s="7" t="s">
        <v>69</v>
      </c>
      <c r="E298" s="7" t="s">
        <v>169</v>
      </c>
      <c r="F298" s="8" t="n">
        <v>0.96</v>
      </c>
      <c r="G298" s="8" t="n">
        <v>1.23</v>
      </c>
      <c r="H298" s="16" t="n">
        <f aca="false">IF(OR(F298="",F298=0),"",(G298-F298)/F298)</f>
        <v>0.28125</v>
      </c>
      <c r="I298" s="14" t="n">
        <v>1139</v>
      </c>
    </row>
    <row r="299" customFormat="false" ht="21.75" hidden="false" customHeight="true" outlineLevel="0" collapsed="false">
      <c r="B299" s="4" t="s">
        <v>1246</v>
      </c>
      <c r="C299" s="4" t="s">
        <v>98</v>
      </c>
      <c r="D299" s="4" t="s">
        <v>918</v>
      </c>
      <c r="E299" s="4" t="s">
        <v>169</v>
      </c>
      <c r="F299" s="5" t="n">
        <v>4.58</v>
      </c>
      <c r="G299" s="5" t="n">
        <v>5.5</v>
      </c>
      <c r="H299" s="15" t="n">
        <f aca="false">IF(OR(F299="",F299=0),"",(G299-F299)/F299)</f>
        <v>0.200873362445415</v>
      </c>
      <c r="I299" s="13" t="n">
        <v>6</v>
      </c>
    </row>
    <row r="300" customFormat="false" ht="21.75" hidden="false" customHeight="true" outlineLevel="0" collapsed="false">
      <c r="B300" s="7" t="s">
        <v>1247</v>
      </c>
      <c r="C300" s="7" t="s">
        <v>728</v>
      </c>
      <c r="D300" s="7" t="s">
        <v>1070</v>
      </c>
      <c r="E300" s="7" t="s">
        <v>169</v>
      </c>
      <c r="F300" s="8" t="n">
        <v>2.29</v>
      </c>
      <c r="G300" s="8" t="n">
        <v>2.75</v>
      </c>
      <c r="H300" s="16" t="n">
        <f aca="false">IF(OR(F300="",F300=0),"",(G300-F300)/F300)</f>
        <v>0.200873362445415</v>
      </c>
      <c r="I300" s="14" t="n">
        <v>8</v>
      </c>
    </row>
    <row r="301" customFormat="false" ht="21.75" hidden="false" customHeight="true" outlineLevel="0" collapsed="false">
      <c r="B301" s="4" t="s">
        <v>1248</v>
      </c>
      <c r="C301" s="4" t="s">
        <v>1249</v>
      </c>
      <c r="D301" s="4" t="s">
        <v>918</v>
      </c>
      <c r="E301" s="4" t="s">
        <v>169</v>
      </c>
      <c r="F301" s="5" t="n">
        <v>5.39</v>
      </c>
      <c r="G301" s="5" t="n">
        <v>6.47</v>
      </c>
      <c r="H301" s="15" t="n">
        <f aca="false">IF(OR(F301="",F301=0),"",(G301-F301)/F301)</f>
        <v>0.200371057513915</v>
      </c>
      <c r="I301" s="13" t="n">
        <v>0</v>
      </c>
    </row>
    <row r="302" customFormat="false" ht="21.75" hidden="false" customHeight="true" outlineLevel="0" collapsed="false">
      <c r="B302" s="7" t="s">
        <v>1250</v>
      </c>
      <c r="C302" s="7" t="s">
        <v>1251</v>
      </c>
      <c r="D302" s="7" t="s">
        <v>69</v>
      </c>
      <c r="E302" s="7" t="s">
        <v>169</v>
      </c>
      <c r="F302" s="8" t="n">
        <v>16.56</v>
      </c>
      <c r="G302" s="8" t="n">
        <v>19.88</v>
      </c>
      <c r="H302" s="16" t="n">
        <f aca="false">IF(OR(F302="",F302=0),"",(G302-F302)/F302)</f>
        <v>0.20048309178744</v>
      </c>
      <c r="I302" s="14" t="n">
        <v>0</v>
      </c>
    </row>
    <row r="303" customFormat="false" ht="21.75" hidden="false" customHeight="true" outlineLevel="0" collapsed="false">
      <c r="B303" s="4" t="s">
        <v>1252</v>
      </c>
      <c r="C303" s="4" t="s">
        <v>101</v>
      </c>
      <c r="D303" s="4" t="s">
        <v>69</v>
      </c>
      <c r="E303" s="4" t="s">
        <v>169</v>
      </c>
      <c r="F303" s="5" t="n">
        <v>16.38</v>
      </c>
      <c r="G303" s="5" t="n">
        <v>19.66</v>
      </c>
      <c r="H303" s="15" t="n">
        <f aca="false">IF(OR(F303="",F303=0),"",(G303-F303)/F303)</f>
        <v>0.2002442002442</v>
      </c>
      <c r="I303" s="13" t="n">
        <v>46</v>
      </c>
    </row>
    <row r="304" customFormat="false" ht="21.75" hidden="false" customHeight="true" outlineLevel="0" collapsed="false">
      <c r="B304" s="7" t="s">
        <v>1253</v>
      </c>
      <c r="C304" s="7" t="s">
        <v>1254</v>
      </c>
      <c r="D304" s="7" t="s">
        <v>918</v>
      </c>
      <c r="E304" s="7" t="s">
        <v>169</v>
      </c>
      <c r="F304" s="8" t="n">
        <v>1.15</v>
      </c>
      <c r="G304" s="8" t="n">
        <v>1.48</v>
      </c>
      <c r="H304" s="16" t="n">
        <f aca="false">IF(OR(F304="",F304=0),"",(G304-F304)/F304)</f>
        <v>0.286956521739131</v>
      </c>
      <c r="I304" s="14" t="n">
        <v>15</v>
      </c>
    </row>
    <row r="305" customFormat="false" ht="21.75" hidden="false" customHeight="true" outlineLevel="0" collapsed="false">
      <c r="B305" s="4" t="s">
        <v>1255</v>
      </c>
      <c r="C305" s="4" t="s">
        <v>1256</v>
      </c>
      <c r="D305" s="4" t="s">
        <v>918</v>
      </c>
      <c r="E305" s="4" t="s">
        <v>169</v>
      </c>
      <c r="F305" s="5" t="n">
        <v>2.29</v>
      </c>
      <c r="G305" s="5" t="n">
        <v>2.75</v>
      </c>
      <c r="H305" s="15" t="n">
        <f aca="false">IF(OR(F305="",F305=0),"",(G305-F305)/F305)</f>
        <v>0.200873362445415</v>
      </c>
      <c r="I305" s="13" t="n">
        <v>14</v>
      </c>
    </row>
    <row r="306" customFormat="false" ht="21.75" hidden="false" customHeight="true" outlineLevel="0" collapsed="false">
      <c r="B306" s="7" t="s">
        <v>1257</v>
      </c>
      <c r="C306" s="7" t="s">
        <v>638</v>
      </c>
      <c r="D306" s="7" t="s">
        <v>957</v>
      </c>
      <c r="E306" s="7" t="s">
        <v>169</v>
      </c>
      <c r="F306" s="8" t="n">
        <v>1.53</v>
      </c>
      <c r="G306" s="8" t="n">
        <v>1.96</v>
      </c>
      <c r="H306" s="16" t="n">
        <f aca="false">IF(OR(F306="",F306=0),"",(G306-F306)/F306)</f>
        <v>0.281045751633987</v>
      </c>
      <c r="I306" s="14" t="n">
        <v>8</v>
      </c>
    </row>
    <row r="307" customFormat="false" ht="21.75" hidden="false" customHeight="true" outlineLevel="0" collapsed="false">
      <c r="B307" s="4" t="s">
        <v>1258</v>
      </c>
      <c r="C307" s="4" t="s">
        <v>537</v>
      </c>
      <c r="D307" s="4" t="s">
        <v>69</v>
      </c>
      <c r="E307" s="4" t="s">
        <v>169</v>
      </c>
      <c r="F307" s="5" t="n">
        <v>18.1</v>
      </c>
      <c r="G307" s="5" t="n">
        <v>21.72</v>
      </c>
      <c r="H307" s="15" t="n">
        <f aca="false">IF(OR(F307="",F307=0),"",(G307-F307)/F307)</f>
        <v>0.2</v>
      </c>
      <c r="I307" s="13" t="n">
        <v>3</v>
      </c>
    </row>
    <row r="308" customFormat="false" ht="21.75" hidden="false" customHeight="true" outlineLevel="0" collapsed="false">
      <c r="B308" s="7" t="s">
        <v>1259</v>
      </c>
      <c r="C308" s="7" t="s">
        <v>1260</v>
      </c>
      <c r="D308" s="7" t="s">
        <v>918</v>
      </c>
      <c r="E308" s="7" t="s">
        <v>169</v>
      </c>
      <c r="F308" s="8" t="n">
        <v>4.19</v>
      </c>
      <c r="G308" s="8" t="n">
        <v>5.03</v>
      </c>
      <c r="H308" s="16" t="n">
        <f aca="false">IF(OR(F308="",F308=0),"",(G308-F308)/F308)</f>
        <v>0.200477326968974</v>
      </c>
      <c r="I308" s="14" t="n">
        <v>0</v>
      </c>
    </row>
    <row r="309" customFormat="false" ht="21.75" hidden="false" customHeight="true" outlineLevel="0" collapsed="false">
      <c r="B309" s="4" t="s">
        <v>1261</v>
      </c>
      <c r="C309" s="4" t="s">
        <v>1262</v>
      </c>
      <c r="D309" s="4" t="s">
        <v>918</v>
      </c>
      <c r="E309" s="4" t="s">
        <v>169</v>
      </c>
      <c r="F309" s="5" t="n">
        <v>4.19</v>
      </c>
      <c r="G309" s="5" t="n">
        <v>5.03</v>
      </c>
      <c r="H309" s="15" t="n">
        <f aca="false">IF(OR(F309="",F309=0),"",(G309-F309)/F309)</f>
        <v>0.200477326968974</v>
      </c>
      <c r="I309" s="13" t="n">
        <v>0</v>
      </c>
    </row>
    <row r="310" customFormat="false" ht="21.75" hidden="false" customHeight="true" outlineLevel="0" collapsed="false">
      <c r="B310" s="7" t="s">
        <v>904</v>
      </c>
      <c r="C310" s="7" t="s">
        <v>905</v>
      </c>
      <c r="D310" s="7" t="s">
        <v>69</v>
      </c>
      <c r="E310" s="7" t="s">
        <v>202</v>
      </c>
      <c r="F310" s="8" t="n">
        <v>4.5</v>
      </c>
      <c r="G310" s="8" t="n">
        <v>5.4</v>
      </c>
      <c r="H310" s="16" t="n">
        <f aca="false">IF(OR(F310="",F310=0),"",(G310-F310)/F310)</f>
        <v>0.2</v>
      </c>
      <c r="I310" s="14" t="n">
        <v>1</v>
      </c>
    </row>
    <row r="311" customFormat="false" ht="21.75" hidden="false" customHeight="true" outlineLevel="0" collapsed="false">
      <c r="B311" s="4" t="s">
        <v>1263</v>
      </c>
      <c r="C311" s="4" t="s">
        <v>571</v>
      </c>
      <c r="D311" s="4" t="s">
        <v>69</v>
      </c>
      <c r="E311" s="4" t="s">
        <v>169</v>
      </c>
      <c r="F311" s="5" t="n">
        <v>3.81</v>
      </c>
      <c r="G311" s="5" t="n">
        <v>4.58</v>
      </c>
      <c r="H311" s="15" t="n">
        <f aca="false">IF(OR(F311="",F311=0),"",(G311-F311)/F311)</f>
        <v>0.202099737532808</v>
      </c>
      <c r="I311" s="13" t="n">
        <v>338</v>
      </c>
    </row>
    <row r="312" customFormat="false" ht="21.75" hidden="false" customHeight="true" outlineLevel="0" collapsed="false">
      <c r="B312" s="7" t="s">
        <v>1264</v>
      </c>
      <c r="C312" s="7" t="s">
        <v>575</v>
      </c>
      <c r="D312" s="7" t="s">
        <v>69</v>
      </c>
      <c r="E312" s="7" t="s">
        <v>169</v>
      </c>
      <c r="F312" s="8" t="n">
        <v>0.58</v>
      </c>
      <c r="G312" s="8" t="n">
        <v>0.75</v>
      </c>
      <c r="H312" s="16" t="n">
        <f aca="false">IF(OR(F312="",F312=0),"",(G312-F312)/F312)</f>
        <v>0.293103448275862</v>
      </c>
      <c r="I312" s="14" t="n">
        <v>0</v>
      </c>
    </row>
    <row r="313" customFormat="false" ht="21.75" hidden="false" customHeight="true" outlineLevel="0" collapsed="false">
      <c r="B313" s="4" t="s">
        <v>1265</v>
      </c>
      <c r="C313" s="4" t="s">
        <v>578</v>
      </c>
      <c r="D313" s="4" t="s">
        <v>69</v>
      </c>
      <c r="E313" s="4" t="s">
        <v>169</v>
      </c>
      <c r="F313" s="5" t="n">
        <v>0.58</v>
      </c>
      <c r="G313" s="5" t="n">
        <v>0.75</v>
      </c>
      <c r="H313" s="15" t="n">
        <f aca="false">IF(OR(F313="",F313=0),"",(G313-F313)/F313)</f>
        <v>0.293103448275862</v>
      </c>
      <c r="I313" s="13" t="n">
        <v>3</v>
      </c>
    </row>
    <row r="314" customFormat="false" ht="21.75" hidden="false" customHeight="true" outlineLevel="0" collapsed="false">
      <c r="B314" s="7" t="s">
        <v>1266</v>
      </c>
      <c r="C314" s="7" t="s">
        <v>388</v>
      </c>
      <c r="D314" s="7" t="s">
        <v>69</v>
      </c>
      <c r="E314" s="7" t="s">
        <v>169</v>
      </c>
      <c r="F314" s="8" t="n">
        <v>10.67</v>
      </c>
      <c r="G314" s="8" t="n">
        <v>12.81</v>
      </c>
      <c r="H314" s="16" t="n">
        <f aca="false">IF(OR(F314="",F314=0),"",(G314-F314)/F314)</f>
        <v>0.200562324273665</v>
      </c>
      <c r="I314" s="14" t="n">
        <v>9</v>
      </c>
    </row>
    <row r="315" customFormat="false" ht="21.75" hidden="false" customHeight="true" outlineLevel="0" collapsed="false">
      <c r="B315" s="4" t="s">
        <v>1267</v>
      </c>
      <c r="C315" s="4" t="s">
        <v>392</v>
      </c>
      <c r="D315" s="4" t="s">
        <v>69</v>
      </c>
      <c r="E315" s="4" t="s">
        <v>169</v>
      </c>
      <c r="F315" s="5" t="n">
        <v>11.05</v>
      </c>
      <c r="G315" s="5" t="n">
        <v>13.26</v>
      </c>
      <c r="H315" s="15" t="n">
        <f aca="false">IF(OR(F315="",F315=0),"",(G315-F315)/F315)</f>
        <v>0.2</v>
      </c>
      <c r="I315" s="13" t="n">
        <v>40</v>
      </c>
    </row>
    <row r="316" customFormat="false" ht="21.75" hidden="false" customHeight="true" outlineLevel="0" collapsed="false">
      <c r="B316" s="7" t="s">
        <v>1268</v>
      </c>
      <c r="C316" s="7" t="s">
        <v>395</v>
      </c>
      <c r="D316" s="7" t="s">
        <v>69</v>
      </c>
      <c r="E316" s="7" t="s">
        <v>169</v>
      </c>
      <c r="F316" s="8" t="n">
        <v>9.53</v>
      </c>
      <c r="G316" s="8" t="n">
        <v>11.44</v>
      </c>
      <c r="H316" s="16" t="n">
        <f aca="false">IF(OR(F316="",F316=0),"",(G316-F316)/F316)</f>
        <v>0.200419727177335</v>
      </c>
      <c r="I316" s="14" t="n">
        <v>16</v>
      </c>
    </row>
    <row r="317" customFormat="false" ht="21.75" hidden="false" customHeight="true" outlineLevel="0" collapsed="false">
      <c r="B317" s="4" t="s">
        <v>1269</v>
      </c>
      <c r="C317" s="4" t="s">
        <v>398</v>
      </c>
      <c r="D317" s="4" t="s">
        <v>69</v>
      </c>
      <c r="E317" s="4" t="s">
        <v>169</v>
      </c>
      <c r="F317" s="5" t="n">
        <v>1.72</v>
      </c>
      <c r="G317" s="5" t="n">
        <v>2.21</v>
      </c>
      <c r="H317" s="15" t="n">
        <f aca="false">IF(OR(F317="",F317=0),"",(G317-F317)/F317)</f>
        <v>0.284883720930233</v>
      </c>
      <c r="I317" s="13" t="n">
        <v>42</v>
      </c>
    </row>
    <row r="318" customFormat="false" ht="21.75" hidden="false" customHeight="true" outlineLevel="0" collapsed="false">
      <c r="B318" s="7" t="s">
        <v>1270</v>
      </c>
      <c r="C318" s="7" t="s">
        <v>401</v>
      </c>
      <c r="D318" s="7" t="s">
        <v>69</v>
      </c>
      <c r="E318" s="7" t="s">
        <v>169</v>
      </c>
      <c r="F318" s="8" t="n">
        <v>12.19</v>
      </c>
      <c r="G318" s="8" t="n">
        <v>14.63</v>
      </c>
      <c r="H318" s="16" t="n">
        <f aca="false">IF(OR(F318="",F318=0),"",(G318-F318)/F318)</f>
        <v>0.200164068908942</v>
      </c>
      <c r="I318" s="14" t="n">
        <v>2</v>
      </c>
    </row>
    <row r="319" customFormat="false" ht="21.75" hidden="false" customHeight="true" outlineLevel="0" collapsed="false">
      <c r="B319" s="4" t="s">
        <v>1271</v>
      </c>
      <c r="C319" s="4" t="s">
        <v>404</v>
      </c>
      <c r="D319" s="4" t="s">
        <v>69</v>
      </c>
      <c r="E319" s="4" t="s">
        <v>169</v>
      </c>
      <c r="F319" s="5" t="n">
        <v>9.53</v>
      </c>
      <c r="G319" s="5" t="n">
        <v>11.44</v>
      </c>
      <c r="H319" s="15" t="n">
        <f aca="false">IF(OR(F319="",F319=0),"",(G319-F319)/F319)</f>
        <v>0.200419727177335</v>
      </c>
      <c r="I319" s="13" t="n">
        <v>4</v>
      </c>
    </row>
    <row r="320" customFormat="false" ht="21.75" hidden="false" customHeight="true" outlineLevel="0" collapsed="false">
      <c r="B320" s="7" t="s">
        <v>1272</v>
      </c>
      <c r="C320" s="7" t="s">
        <v>407</v>
      </c>
      <c r="D320" s="7" t="s">
        <v>69</v>
      </c>
      <c r="E320" s="7" t="s">
        <v>169</v>
      </c>
      <c r="F320" s="8" t="n">
        <v>70.45</v>
      </c>
      <c r="G320" s="8" t="n">
        <v>84.54</v>
      </c>
      <c r="H320" s="16" t="n">
        <f aca="false">IF(OR(F320="",F320=0),"",(G320-F320)/F320)</f>
        <v>0.2</v>
      </c>
      <c r="I320" s="14" t="n">
        <v>5</v>
      </c>
    </row>
    <row r="321" customFormat="false" ht="21.75" hidden="false" customHeight="true" outlineLevel="0" collapsed="false">
      <c r="B321" s="4" t="s">
        <v>1273</v>
      </c>
      <c r="C321" s="4" t="s">
        <v>410</v>
      </c>
      <c r="D321" s="4" t="s">
        <v>69</v>
      </c>
      <c r="E321" s="4" t="s">
        <v>169</v>
      </c>
      <c r="F321" s="5" t="n">
        <v>1.72</v>
      </c>
      <c r="G321" s="5" t="n">
        <v>2.21</v>
      </c>
      <c r="H321" s="15" t="n">
        <f aca="false">IF(OR(F321="",F321=0),"",(G321-F321)/F321)</f>
        <v>0.284883720930233</v>
      </c>
      <c r="I321" s="13" t="n">
        <v>87</v>
      </c>
    </row>
    <row r="322" customFormat="false" ht="21.75" hidden="false" customHeight="true" outlineLevel="0" collapsed="false">
      <c r="B322" s="7" t="s">
        <v>1274</v>
      </c>
      <c r="C322" s="7" t="s">
        <v>413</v>
      </c>
      <c r="D322" s="7" t="s">
        <v>69</v>
      </c>
      <c r="E322" s="7" t="s">
        <v>169</v>
      </c>
      <c r="F322" s="8" t="n">
        <v>0.78</v>
      </c>
      <c r="G322" s="8" t="n">
        <v>1</v>
      </c>
      <c r="H322" s="16" t="n">
        <f aca="false">IF(OR(F322="",F322=0),"",(G322-F322)/F322)</f>
        <v>0.282051282051282</v>
      </c>
      <c r="I322" s="14" t="n">
        <v>0</v>
      </c>
    </row>
    <row r="323" customFormat="false" ht="21.75" hidden="false" customHeight="true" outlineLevel="0" collapsed="false">
      <c r="B323" s="4" t="s">
        <v>1275</v>
      </c>
      <c r="C323" s="4" t="s">
        <v>416</v>
      </c>
      <c r="D323" s="4" t="s">
        <v>69</v>
      </c>
      <c r="E323" s="4" t="s">
        <v>169</v>
      </c>
      <c r="F323" s="5" t="n">
        <v>8</v>
      </c>
      <c r="G323" s="5" t="n">
        <v>9.6</v>
      </c>
      <c r="H323" s="15" t="n">
        <f aca="false">IF(OR(F323="",F323=0),"",(G323-F323)/F323)</f>
        <v>0.2</v>
      </c>
      <c r="I323" s="13" t="n">
        <v>0</v>
      </c>
    </row>
    <row r="324" customFormat="false" ht="21.75" hidden="false" customHeight="true" outlineLevel="0" collapsed="false">
      <c r="B324" s="7" t="s">
        <v>1276</v>
      </c>
      <c r="C324" s="7" t="s">
        <v>419</v>
      </c>
      <c r="D324" s="7" t="s">
        <v>69</v>
      </c>
      <c r="E324" s="7" t="s">
        <v>169</v>
      </c>
      <c r="F324" s="8" t="n">
        <v>6.06</v>
      </c>
      <c r="G324" s="8" t="n">
        <v>7.28</v>
      </c>
      <c r="H324" s="16" t="n">
        <f aca="false">IF(OR(F324="",F324=0),"",(G324-F324)/F324)</f>
        <v>0.201320132013201</v>
      </c>
      <c r="I324" s="14" t="n">
        <v>18</v>
      </c>
    </row>
    <row r="325" customFormat="false" ht="21.75" hidden="false" customHeight="true" outlineLevel="0" collapsed="false">
      <c r="B325" s="4" t="s">
        <v>1277</v>
      </c>
      <c r="C325" s="4" t="s">
        <v>907</v>
      </c>
      <c r="D325" s="4" t="s">
        <v>920</v>
      </c>
      <c r="E325" s="4" t="s">
        <v>169</v>
      </c>
      <c r="F325" s="5" t="n">
        <v>4.19</v>
      </c>
      <c r="G325" s="5" t="n">
        <v>5.03</v>
      </c>
      <c r="H325" s="15" t="n">
        <f aca="false">IF(OR(F325="",F325=0),"",(G325-F325)/F325)</f>
        <v>0.200477326968974</v>
      </c>
      <c r="I325" s="13" t="n">
        <v>29</v>
      </c>
    </row>
    <row r="326" customFormat="false" ht="21.75" hidden="false" customHeight="true" outlineLevel="0" collapsed="false">
      <c r="B326" s="7" t="s">
        <v>1278</v>
      </c>
      <c r="C326" s="7" t="s">
        <v>731</v>
      </c>
      <c r="D326" s="7" t="s">
        <v>1070</v>
      </c>
      <c r="E326" s="7" t="s">
        <v>169</v>
      </c>
      <c r="F326" s="8" t="n">
        <v>2.1</v>
      </c>
      <c r="G326" s="8" t="n">
        <v>2.52</v>
      </c>
      <c r="H326" s="16" t="n">
        <f aca="false">IF(OR(F326="",F326=0),"",(G326-F326)/F326)</f>
        <v>0.2</v>
      </c>
      <c r="I326" s="14" t="n">
        <v>8</v>
      </c>
    </row>
    <row r="327" customFormat="false" ht="21.75" hidden="false" customHeight="true" outlineLevel="0" collapsed="false">
      <c r="B327" s="4" t="s">
        <v>733</v>
      </c>
      <c r="C327" s="4" t="s">
        <v>734</v>
      </c>
      <c r="D327" s="4" t="s">
        <v>1070</v>
      </c>
      <c r="E327" s="4" t="s">
        <v>202</v>
      </c>
      <c r="F327" s="5" t="n">
        <v>1.8</v>
      </c>
      <c r="G327" s="5" t="n">
        <v>2.35</v>
      </c>
      <c r="H327" s="15" t="n">
        <f aca="false">IF(OR(F327="",F327=0),"",(G327-F327)/F327)</f>
        <v>0.305555555555556</v>
      </c>
      <c r="I327" s="13" t="n">
        <v>2</v>
      </c>
    </row>
    <row r="328" customFormat="false" ht="21.75" hidden="false" customHeight="true" outlineLevel="0" collapsed="false">
      <c r="B328" s="7" t="s">
        <v>1279</v>
      </c>
      <c r="C328" s="7" t="s">
        <v>160</v>
      </c>
      <c r="D328" s="7" t="s">
        <v>920</v>
      </c>
      <c r="E328" s="7" t="s">
        <v>169</v>
      </c>
      <c r="F328" s="8" t="n">
        <v>22.76</v>
      </c>
      <c r="G328" s="8" t="n">
        <v>27.32</v>
      </c>
      <c r="H328" s="16" t="n">
        <f aca="false">IF(OR(F328="",F328=0),"",(G328-F328)/F328)</f>
        <v>0.200351493848858</v>
      </c>
      <c r="I328" s="14" t="n">
        <v>0</v>
      </c>
    </row>
    <row r="329" customFormat="false" ht="21.75" hidden="false" customHeight="true" outlineLevel="0" collapsed="false">
      <c r="B329" s="4" t="s">
        <v>1280</v>
      </c>
      <c r="C329" s="4" t="s">
        <v>698</v>
      </c>
      <c r="D329" s="4" t="s">
        <v>918</v>
      </c>
      <c r="E329" s="4" t="s">
        <v>169</v>
      </c>
      <c r="F329" s="5" t="n">
        <v>1.34</v>
      </c>
      <c r="G329" s="5" t="n">
        <v>1.72</v>
      </c>
      <c r="H329" s="15" t="n">
        <f aca="false">IF(OR(F329="",F329=0),"",(G329-F329)/F329)</f>
        <v>0.283582089552239</v>
      </c>
      <c r="I329" s="13" t="n">
        <v>0</v>
      </c>
    </row>
    <row r="330" customFormat="false" ht="21.75" hidden="false" customHeight="true" outlineLevel="0" collapsed="false">
      <c r="B330" s="7" t="s">
        <v>1281</v>
      </c>
      <c r="C330" s="7" t="s">
        <v>422</v>
      </c>
      <c r="D330" s="7" t="s">
        <v>69</v>
      </c>
      <c r="E330" s="7" t="s">
        <v>169</v>
      </c>
      <c r="F330" s="8" t="n">
        <v>2.29</v>
      </c>
      <c r="G330" s="8" t="n">
        <v>2.75</v>
      </c>
      <c r="H330" s="16" t="n">
        <f aca="false">IF(OR(F330="",F330=0),"",(G330-F330)/F330)</f>
        <v>0.200873362445415</v>
      </c>
      <c r="I330" s="14" t="n">
        <v>4</v>
      </c>
    </row>
    <row r="331" customFormat="false" ht="21.75" hidden="false" customHeight="true" outlineLevel="0" collapsed="false">
      <c r="B331" s="4" t="s">
        <v>1282</v>
      </c>
      <c r="C331" s="4" t="s">
        <v>154</v>
      </c>
      <c r="D331" s="4" t="s">
        <v>918</v>
      </c>
      <c r="E331" s="4" t="s">
        <v>169</v>
      </c>
      <c r="F331" s="5" t="n">
        <v>1.35</v>
      </c>
      <c r="G331" s="5" t="n">
        <v>1.73</v>
      </c>
      <c r="H331" s="15" t="n">
        <f aca="false">IF(OR(F331="",F331=0),"",(G331-F331)/F331)</f>
        <v>0.281481481481481</v>
      </c>
      <c r="I331" s="13" t="n">
        <v>30</v>
      </c>
    </row>
    <row r="332" customFormat="false" ht="21.75" hidden="false" customHeight="true" outlineLevel="0" collapsed="false">
      <c r="B332" s="7" t="s">
        <v>1283</v>
      </c>
      <c r="C332" s="7" t="s">
        <v>158</v>
      </c>
      <c r="D332" s="7" t="s">
        <v>918</v>
      </c>
      <c r="E332" s="7" t="s">
        <v>169</v>
      </c>
      <c r="F332" s="8" t="n">
        <v>2.69</v>
      </c>
      <c r="G332" s="8" t="n">
        <v>3.23</v>
      </c>
      <c r="H332" s="16" t="n">
        <f aca="false">IF(OR(F332="",F332=0),"",(G332-F332)/F332)</f>
        <v>0.200743494423792</v>
      </c>
      <c r="I332" s="14" t="n">
        <v>0</v>
      </c>
    </row>
    <row r="333" customFormat="false" ht="21.75" hidden="false" customHeight="true" outlineLevel="0" collapsed="false">
      <c r="B333" s="4" t="s">
        <v>909</v>
      </c>
      <c r="C333" s="4" t="s">
        <v>910</v>
      </c>
      <c r="D333" s="4" t="s">
        <v>69</v>
      </c>
      <c r="E333" s="4" t="s">
        <v>202</v>
      </c>
      <c r="F333" s="5" t="n">
        <v>10</v>
      </c>
      <c r="G333" s="5" t="n">
        <v>12</v>
      </c>
      <c r="H333" s="15" t="n">
        <f aca="false">IF(OR(F333="",F333=0),"",(G333-F333)/F333)</f>
        <v>0.2</v>
      </c>
      <c r="I333" s="13" t="n">
        <v>1</v>
      </c>
    </row>
    <row r="334" customFormat="false" ht="21.75" hidden="false" customHeight="true" outlineLevel="0" collapsed="false">
      <c r="B334" s="7" t="s">
        <v>314</v>
      </c>
      <c r="C334" s="7" t="s">
        <v>315</v>
      </c>
      <c r="D334" s="7" t="s">
        <v>69</v>
      </c>
      <c r="E334" s="7" t="s">
        <v>202</v>
      </c>
      <c r="F334" s="8" t="n">
        <v>7</v>
      </c>
      <c r="G334" s="8" t="n">
        <v>8.4</v>
      </c>
      <c r="H334" s="16" t="n">
        <f aca="false">IF(OR(F334="",F334=0),"",(G334-F334)/F334)</f>
        <v>0.2</v>
      </c>
      <c r="I334" s="14" t="n">
        <v>2</v>
      </c>
    </row>
    <row r="335" customFormat="false" ht="21.75" hidden="false" customHeight="true" outlineLevel="0" collapsed="false">
      <c r="B335" s="4" t="s">
        <v>321</v>
      </c>
      <c r="C335" s="4" t="s">
        <v>322</v>
      </c>
      <c r="D335" s="4" t="s">
        <v>69</v>
      </c>
      <c r="E335" s="4" t="s">
        <v>202</v>
      </c>
      <c r="F335" s="5" t="n">
        <v>8</v>
      </c>
      <c r="G335" s="5" t="n">
        <v>9.6</v>
      </c>
      <c r="H335" s="15" t="n">
        <f aca="false">IF(OR(F335="",F335=0),"",(G335-F335)/F335)</f>
        <v>0.2</v>
      </c>
      <c r="I335" s="13" t="n">
        <v>1</v>
      </c>
    </row>
    <row r="336" customFormat="false" ht="21.75" hidden="false" customHeight="true" outlineLevel="0" collapsed="false">
      <c r="B336" s="7" t="s">
        <v>302</v>
      </c>
      <c r="C336" s="7" t="s">
        <v>303</v>
      </c>
      <c r="D336" s="7" t="s">
        <v>69</v>
      </c>
      <c r="E336" s="7" t="s">
        <v>202</v>
      </c>
      <c r="F336" s="8" t="n">
        <v>2.5</v>
      </c>
      <c r="G336" s="8" t="n">
        <v>3</v>
      </c>
      <c r="H336" s="16" t="n">
        <f aca="false">IF(OR(F336="",F336=0),"",(G336-F336)/F336)</f>
        <v>0.2</v>
      </c>
      <c r="I336" s="14" t="n">
        <v>141</v>
      </c>
    </row>
    <row r="337" customFormat="false" ht="21.75" hidden="false" customHeight="true" outlineLevel="0" collapsed="false">
      <c r="B337" s="4" t="s">
        <v>1284</v>
      </c>
      <c r="C337" s="4" t="s">
        <v>817</v>
      </c>
      <c r="D337" s="4" t="s">
        <v>69</v>
      </c>
      <c r="E337" s="4" t="s">
        <v>169</v>
      </c>
      <c r="F337" s="5" t="n">
        <v>1.15</v>
      </c>
      <c r="G337" s="5" t="n">
        <v>1.48</v>
      </c>
      <c r="H337" s="15" t="n">
        <f aca="false">IF(OR(F337="",F337=0),"",(G337-F337)/F337)</f>
        <v>0.286956521739131</v>
      </c>
      <c r="I337" s="13" t="n">
        <v>9</v>
      </c>
    </row>
    <row r="338" customFormat="false" ht="21.75" hidden="false" customHeight="true" outlineLevel="0" collapsed="false">
      <c r="B338" s="7" t="s">
        <v>1285</v>
      </c>
      <c r="C338" s="7" t="s">
        <v>821</v>
      </c>
      <c r="D338" s="7" t="s">
        <v>69</v>
      </c>
      <c r="E338" s="7" t="s">
        <v>169</v>
      </c>
      <c r="F338" s="8" t="n">
        <v>1.72</v>
      </c>
      <c r="G338" s="8" t="n">
        <v>2.21</v>
      </c>
      <c r="H338" s="16" t="n">
        <f aca="false">IF(OR(F338="",F338=0),"",(G338-F338)/F338)</f>
        <v>0.284883720930233</v>
      </c>
      <c r="I338" s="14" t="n">
        <v>572</v>
      </c>
    </row>
    <row r="339" customFormat="false" ht="21.75" hidden="false" customHeight="true" outlineLevel="0" collapsed="false">
      <c r="B339" s="4" t="s">
        <v>1286</v>
      </c>
      <c r="C339" s="4" t="s">
        <v>137</v>
      </c>
      <c r="D339" s="4" t="s">
        <v>69</v>
      </c>
      <c r="E339" s="4" t="s">
        <v>169</v>
      </c>
      <c r="F339" s="5" t="n">
        <v>115.26</v>
      </c>
      <c r="G339" s="5" t="n">
        <v>138.32</v>
      </c>
      <c r="H339" s="15" t="n">
        <f aca="false">IF(OR(F339="",F339=0),"",(G339-F339)/F339)</f>
        <v>0.200069408294291</v>
      </c>
      <c r="I339" s="13" t="n">
        <v>6</v>
      </c>
    </row>
    <row r="340" customFormat="false" ht="21.75" hidden="false" customHeight="true" outlineLevel="0" collapsed="false">
      <c r="B340" s="7" t="s">
        <v>1287</v>
      </c>
      <c r="C340" s="7" t="s">
        <v>140</v>
      </c>
      <c r="D340" s="7" t="s">
        <v>69</v>
      </c>
      <c r="E340" s="7" t="s">
        <v>169</v>
      </c>
      <c r="F340" s="8" t="n">
        <v>12.19</v>
      </c>
      <c r="G340" s="8" t="n">
        <v>14.63</v>
      </c>
      <c r="H340" s="16" t="n">
        <f aca="false">IF(OR(F340="",F340=0),"",(G340-F340)/F340)</f>
        <v>0.200164068908942</v>
      </c>
      <c r="I340" s="14" t="n">
        <v>50</v>
      </c>
    </row>
    <row r="341" customFormat="false" ht="21.75" hidden="false" customHeight="true" outlineLevel="0" collapsed="false">
      <c r="B341" s="4" t="s">
        <v>1288</v>
      </c>
      <c r="C341" s="4" t="s">
        <v>142</v>
      </c>
      <c r="D341" s="4" t="s">
        <v>69</v>
      </c>
      <c r="E341" s="4" t="s">
        <v>169</v>
      </c>
      <c r="F341" s="5" t="n">
        <v>1.49</v>
      </c>
      <c r="G341" s="5" t="n">
        <v>1.91</v>
      </c>
      <c r="H341" s="15" t="n">
        <f aca="false">IF(OR(F341="",F341=0),"",(G341-F341)/F341)</f>
        <v>0.281879194630872</v>
      </c>
      <c r="I341" s="13" t="n">
        <v>91</v>
      </c>
    </row>
    <row r="342" customFormat="false" ht="21.75" hidden="false" customHeight="true" outlineLevel="0" collapsed="false">
      <c r="B342" s="7" t="s">
        <v>1289</v>
      </c>
      <c r="C342" s="7" t="s">
        <v>145</v>
      </c>
      <c r="D342" s="7" t="s">
        <v>69</v>
      </c>
      <c r="E342" s="7" t="s">
        <v>169</v>
      </c>
      <c r="F342" s="8" t="n">
        <v>30.43</v>
      </c>
      <c r="G342" s="8" t="n">
        <v>36.52</v>
      </c>
      <c r="H342" s="16" t="n">
        <f aca="false">IF(OR(F342="",F342=0),"",(G342-F342)/F342)</f>
        <v>0.200131449227736</v>
      </c>
      <c r="I342" s="14" t="n">
        <v>24</v>
      </c>
    </row>
    <row r="343" customFormat="false" ht="21.75" hidden="false" customHeight="true" outlineLevel="0" collapsed="false">
      <c r="B343" s="4" t="s">
        <v>1290</v>
      </c>
      <c r="C343" s="4" t="s">
        <v>147</v>
      </c>
      <c r="D343" s="4" t="s">
        <v>69</v>
      </c>
      <c r="E343" s="4" t="s">
        <v>169</v>
      </c>
      <c r="F343" s="5" t="n">
        <v>2.86</v>
      </c>
      <c r="G343" s="5" t="n">
        <v>3.44</v>
      </c>
      <c r="H343" s="15" t="n">
        <f aca="false">IF(OR(F343="",F343=0),"",(G343-F343)/F343)</f>
        <v>0.202797202797203</v>
      </c>
      <c r="I343" s="13" t="n">
        <v>97</v>
      </c>
    </row>
    <row r="344" customFormat="false" ht="21.75" hidden="false" customHeight="true" outlineLevel="0" collapsed="false">
      <c r="B344" s="7" t="s">
        <v>1291</v>
      </c>
      <c r="C344" s="7" t="s">
        <v>150</v>
      </c>
      <c r="D344" s="7" t="s">
        <v>69</v>
      </c>
      <c r="E344" s="7" t="s">
        <v>169</v>
      </c>
      <c r="F344" s="8" t="n">
        <v>53.32</v>
      </c>
      <c r="G344" s="8" t="n">
        <v>63.99</v>
      </c>
      <c r="H344" s="16" t="n">
        <f aca="false">IF(OR(F344="",F344=0),"",(G344-F344)/F344)</f>
        <v>0.200112528132033</v>
      </c>
      <c r="I344" s="14" t="n">
        <v>13</v>
      </c>
    </row>
    <row r="345" customFormat="false" ht="21.75" hidden="false" customHeight="true" outlineLevel="0" collapsed="false">
      <c r="B345" s="4" t="s">
        <v>1292</v>
      </c>
      <c r="C345" s="4" t="s">
        <v>152</v>
      </c>
      <c r="D345" s="4" t="s">
        <v>69</v>
      </c>
      <c r="E345" s="4" t="s">
        <v>169</v>
      </c>
      <c r="F345" s="5" t="n">
        <v>6.44</v>
      </c>
      <c r="G345" s="5" t="n">
        <v>7.73</v>
      </c>
      <c r="H345" s="15" t="n">
        <f aca="false">IF(OR(F345="",F345=0),"",(G345-F345)/F345)</f>
        <v>0.200310559006211</v>
      </c>
      <c r="I345" s="13" t="n">
        <v>49</v>
      </c>
    </row>
    <row r="346" customFormat="false" ht="21.75" hidden="false" customHeight="true" outlineLevel="0" collapsed="false">
      <c r="B346" s="7" t="s">
        <v>1293</v>
      </c>
      <c r="C346" s="7" t="s">
        <v>1294</v>
      </c>
      <c r="D346" s="7" t="s">
        <v>1116</v>
      </c>
      <c r="E346" s="7" t="s">
        <v>169</v>
      </c>
      <c r="F346" s="8" t="n">
        <v>2.63</v>
      </c>
      <c r="G346" s="8" t="n">
        <v>3.16</v>
      </c>
      <c r="H346" s="16" t="n">
        <f aca="false">IF(OR(F346="",F346=0),"",(G346-F346)/F346)</f>
        <v>0.201520912547529</v>
      </c>
      <c r="I346" s="14" t="n">
        <v>28</v>
      </c>
    </row>
    <row r="347" customFormat="false" ht="21.75" hidden="false" customHeight="true" outlineLevel="0" collapsed="false">
      <c r="B347" s="4" t="s">
        <v>1295</v>
      </c>
      <c r="C347" s="4" t="s">
        <v>1296</v>
      </c>
      <c r="D347" s="4" t="s">
        <v>1116</v>
      </c>
      <c r="E347" s="4" t="s">
        <v>169</v>
      </c>
      <c r="F347" s="5" t="n">
        <v>3.39</v>
      </c>
      <c r="G347" s="5" t="n">
        <v>4.07</v>
      </c>
      <c r="H347" s="15" t="n">
        <f aca="false">IF(OR(F347="",F347=0),"",(G347-F347)/F347)</f>
        <v>0.200589970501475</v>
      </c>
      <c r="I347" s="13" t="n">
        <v>21</v>
      </c>
    </row>
    <row r="348" customFormat="false" ht="21.75" hidden="false" customHeight="true" outlineLevel="0" collapsed="false">
      <c r="B348" s="7" t="s">
        <v>1297</v>
      </c>
      <c r="C348" s="7" t="s">
        <v>164</v>
      </c>
      <c r="D348" s="7" t="s">
        <v>69</v>
      </c>
      <c r="E348" s="7" t="s">
        <v>169</v>
      </c>
      <c r="F348" s="8" t="n">
        <v>9.91</v>
      </c>
      <c r="G348" s="8" t="n">
        <v>11.9</v>
      </c>
      <c r="H348" s="16" t="n">
        <f aca="false">IF(OR(F348="",F348=0),"",(G348-F348)/F348)</f>
        <v>0.200807265388497</v>
      </c>
      <c r="I348" s="14" t="n">
        <v>3</v>
      </c>
    </row>
    <row r="349" customFormat="false" ht="21.75" hidden="false" customHeight="true" outlineLevel="0" collapsed="false">
      <c r="B349" s="4" t="s">
        <v>1298</v>
      </c>
      <c r="C349" s="4" t="s">
        <v>1299</v>
      </c>
      <c r="D349" s="4" t="s">
        <v>918</v>
      </c>
      <c r="E349" s="4" t="s">
        <v>169</v>
      </c>
      <c r="F349" s="5" t="n">
        <v>11.05</v>
      </c>
      <c r="G349" s="5" t="n">
        <v>13.26</v>
      </c>
      <c r="H349" s="15" t="n">
        <f aca="false">IF(OR(F349="",F349=0),"",(G349-F349)/F349)</f>
        <v>0.2</v>
      </c>
      <c r="I349" s="13" t="n">
        <v>0</v>
      </c>
    </row>
    <row r="350" customFormat="false" ht="21.75" hidden="false" customHeight="true" outlineLevel="0" collapsed="false">
      <c r="B350" s="7" t="s">
        <v>1300</v>
      </c>
      <c r="C350" s="7" t="s">
        <v>1299</v>
      </c>
      <c r="D350" s="7" t="s">
        <v>918</v>
      </c>
      <c r="E350" s="7" t="s">
        <v>169</v>
      </c>
      <c r="F350" s="8" t="n">
        <v>10.67</v>
      </c>
      <c r="G350" s="8" t="n">
        <v>12.81</v>
      </c>
      <c r="H350" s="16" t="n">
        <f aca="false">IF(OR(F350="",F350=0),"",(G350-F350)/F350)</f>
        <v>0.200562324273665</v>
      </c>
      <c r="I350" s="14" t="n">
        <v>0</v>
      </c>
    </row>
    <row r="351" customFormat="false" ht="21.75" hidden="false" customHeight="true" outlineLevel="0" collapsed="false">
      <c r="B351" s="4" t="s">
        <v>1301</v>
      </c>
      <c r="C351" s="4" t="s">
        <v>1299</v>
      </c>
      <c r="D351" s="4" t="s">
        <v>918</v>
      </c>
      <c r="E351" s="4" t="s">
        <v>169</v>
      </c>
      <c r="F351" s="5" t="n">
        <v>10.29</v>
      </c>
      <c r="G351" s="5" t="n">
        <v>12.35</v>
      </c>
      <c r="H351" s="15" t="n">
        <f aca="false">IF(OR(F351="",F351=0),"",(G351-F351)/F351)</f>
        <v>0.20019436345967</v>
      </c>
      <c r="I351" s="13" t="n">
        <v>0</v>
      </c>
    </row>
    <row r="352" customFormat="false" ht="21.75" hidden="false" customHeight="true" outlineLevel="0" collapsed="false">
      <c r="B352" s="7" t="s">
        <v>1302</v>
      </c>
      <c r="C352" s="7" t="s">
        <v>1299</v>
      </c>
      <c r="D352" s="7" t="s">
        <v>918</v>
      </c>
      <c r="E352" s="7" t="s">
        <v>169</v>
      </c>
      <c r="F352" s="8" t="n">
        <v>10.29</v>
      </c>
      <c r="G352" s="8" t="n">
        <v>12.35</v>
      </c>
      <c r="H352" s="16" t="n">
        <f aca="false">IF(OR(F352="",F352=0),"",(G352-F352)/F352)</f>
        <v>0.20019436345967</v>
      </c>
      <c r="I352" s="14" t="n">
        <v>0</v>
      </c>
    </row>
    <row r="353" customFormat="false" ht="21.75" hidden="false" customHeight="true" outlineLevel="0" collapsed="false">
      <c r="B353" s="4" t="s">
        <v>1303</v>
      </c>
      <c r="C353" s="4" t="s">
        <v>1304</v>
      </c>
      <c r="D353" s="4" t="s">
        <v>918</v>
      </c>
      <c r="E353" s="4" t="s">
        <v>169</v>
      </c>
      <c r="F353" s="5" t="n">
        <v>11.05</v>
      </c>
      <c r="G353" s="5" t="n">
        <v>13.26</v>
      </c>
      <c r="H353" s="15" t="n">
        <f aca="false">IF(OR(F353="",F353=0),"",(G353-F353)/F353)</f>
        <v>0.2</v>
      </c>
      <c r="I353" s="13" t="n">
        <v>0</v>
      </c>
    </row>
    <row r="354" customFormat="false" ht="21.75" hidden="false" customHeight="true" outlineLevel="0" collapsed="false">
      <c r="B354" s="7" t="s">
        <v>1305</v>
      </c>
      <c r="C354" s="7" t="s">
        <v>1306</v>
      </c>
      <c r="D354" s="7" t="s">
        <v>918</v>
      </c>
      <c r="E354" s="7" t="s">
        <v>169</v>
      </c>
      <c r="F354" s="8" t="n">
        <v>10.48</v>
      </c>
      <c r="G354" s="8" t="n">
        <v>12.58</v>
      </c>
      <c r="H354" s="16" t="n">
        <f aca="false">IF(OR(F354="",F354=0),"",(G354-F354)/F354)</f>
        <v>0.200381679389313</v>
      </c>
      <c r="I354" s="14" t="n">
        <v>0</v>
      </c>
    </row>
    <row r="355" customFormat="false" ht="21.75" hidden="false" customHeight="true" outlineLevel="0" collapsed="false">
      <c r="B355" s="4" t="s">
        <v>1307</v>
      </c>
      <c r="C355" s="4" t="s">
        <v>1308</v>
      </c>
      <c r="D355" s="4" t="s">
        <v>918</v>
      </c>
      <c r="E355" s="4" t="s">
        <v>169</v>
      </c>
      <c r="F355" s="5" t="n">
        <v>11.05</v>
      </c>
      <c r="G355" s="5" t="n">
        <v>13.26</v>
      </c>
      <c r="H355" s="15" t="n">
        <f aca="false">IF(OR(F355="",F355=0),"",(G355-F355)/F355)</f>
        <v>0.2</v>
      </c>
      <c r="I355" s="13" t="n">
        <v>0</v>
      </c>
    </row>
    <row r="356" customFormat="false" ht="21.75" hidden="false" customHeight="true" outlineLevel="0" collapsed="false">
      <c r="B356" s="7" t="s">
        <v>1309</v>
      </c>
      <c r="C356" s="7" t="s">
        <v>1310</v>
      </c>
      <c r="D356" s="7" t="s">
        <v>918</v>
      </c>
      <c r="E356" s="7" t="s">
        <v>169</v>
      </c>
      <c r="F356" s="8" t="n">
        <v>10.67</v>
      </c>
      <c r="G356" s="8" t="n">
        <v>12.81</v>
      </c>
      <c r="H356" s="16" t="n">
        <f aca="false">IF(OR(F356="",F356=0),"",(G356-F356)/F356)</f>
        <v>0.200562324273665</v>
      </c>
      <c r="I356" s="14" t="n">
        <v>0</v>
      </c>
    </row>
    <row r="357" customFormat="false" ht="21.75" hidden="false" customHeight="true" outlineLevel="0" collapsed="false">
      <c r="B357" s="4" t="s">
        <v>1311</v>
      </c>
      <c r="C357" s="4" t="s">
        <v>310</v>
      </c>
      <c r="D357" s="4" t="s">
        <v>920</v>
      </c>
      <c r="E357" s="4" t="s">
        <v>169</v>
      </c>
      <c r="F357" s="5" t="n">
        <v>10.25</v>
      </c>
      <c r="G357" s="5" t="n">
        <v>12.3</v>
      </c>
      <c r="H357" s="15" t="n">
        <f aca="false">IF(OR(F357="",F357=0),"",(G357-F357)/F357)</f>
        <v>0.2</v>
      </c>
      <c r="I357" s="13" t="n">
        <v>72</v>
      </c>
    </row>
    <row r="358" customFormat="false" ht="21.75" hidden="false" customHeight="true" outlineLevel="0" collapsed="false">
      <c r="B358" s="7" t="s">
        <v>1312</v>
      </c>
      <c r="C358" s="7" t="s">
        <v>313</v>
      </c>
      <c r="D358" s="7" t="s">
        <v>920</v>
      </c>
      <c r="E358" s="7" t="s">
        <v>169</v>
      </c>
      <c r="F358" s="8" t="n">
        <v>4.54</v>
      </c>
      <c r="G358" s="8" t="n">
        <v>5.45</v>
      </c>
      <c r="H358" s="16" t="n">
        <f aca="false">IF(OR(F358="",F358=0),"",(G358-F358)/F358)</f>
        <v>0.200440528634361</v>
      </c>
      <c r="I358" s="14" t="n">
        <v>174</v>
      </c>
    </row>
    <row r="359" customFormat="false" ht="21.75" hidden="false" customHeight="true" outlineLevel="0" collapsed="false">
      <c r="B359" s="4" t="s">
        <v>1313</v>
      </c>
      <c r="C359" s="4" t="s">
        <v>518</v>
      </c>
      <c r="D359" s="4" t="s">
        <v>920</v>
      </c>
      <c r="E359" s="4" t="s">
        <v>169</v>
      </c>
      <c r="F359" s="5" t="n">
        <v>10.63</v>
      </c>
      <c r="G359" s="5" t="n">
        <v>12.76</v>
      </c>
      <c r="H359" s="15" t="n">
        <f aca="false">IF(OR(F359="",F359=0),"",(G359-F359)/F359)</f>
        <v>0.200376293508937</v>
      </c>
      <c r="I359" s="13" t="n">
        <v>69</v>
      </c>
    </row>
    <row r="360" customFormat="false" ht="21.75" hidden="false" customHeight="true" outlineLevel="0" collapsed="false">
      <c r="B360" s="7" t="s">
        <v>1314</v>
      </c>
      <c r="C360" s="7" t="s">
        <v>520</v>
      </c>
      <c r="D360" s="7" t="s">
        <v>920</v>
      </c>
      <c r="E360" s="7" t="s">
        <v>169</v>
      </c>
      <c r="F360" s="8" t="n">
        <v>4.54</v>
      </c>
      <c r="G360" s="8" t="n">
        <v>5.45</v>
      </c>
      <c r="H360" s="16" t="n">
        <f aca="false">IF(OR(F360="",F360=0),"",(G360-F360)/F360)</f>
        <v>0.200440528634361</v>
      </c>
      <c r="I360" s="14" t="n">
        <v>174</v>
      </c>
    </row>
    <row r="361" customFormat="false" ht="21.75" hidden="false" customHeight="true" outlineLevel="0" collapsed="false">
      <c r="B361" s="4" t="s">
        <v>1315</v>
      </c>
      <c r="C361" s="4" t="s">
        <v>522</v>
      </c>
      <c r="D361" s="4" t="s">
        <v>920</v>
      </c>
      <c r="E361" s="4" t="s">
        <v>169</v>
      </c>
      <c r="F361" s="5" t="n">
        <v>26.62</v>
      </c>
      <c r="G361" s="5" t="n">
        <v>31.95</v>
      </c>
      <c r="H361" s="15" t="n">
        <f aca="false">IF(OR(F361="",F361=0),"",(G361-F361)/F361)</f>
        <v>0.20022539444027</v>
      </c>
      <c r="I361" s="13" t="n">
        <v>26</v>
      </c>
    </row>
  </sheetData>
  <mergeCells count="1">
    <mergeCell ref="B2:I2"/>
  </mergeCells>
  <conditionalFormatting sqref="H5:H36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4" min="4" style="1" width="42"/>
    <col collapsed="false" customWidth="true" hidden="false" outlineLevel="0" max="5" min="5" style="1" width="17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8"/>
    <col collapsed="false" customWidth="true" hidden="false" outlineLevel="0" max="9" min="9" style="1" width="34"/>
  </cols>
  <sheetData>
    <row r="2" customFormat="false" ht="31.5" hidden="false" customHeight="true" outlineLevel="0" collapsed="false">
      <c r="B2" s="2" t="s">
        <v>1316</v>
      </c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59</v>
      </c>
      <c r="D4" s="3" t="s">
        <v>60</v>
      </c>
      <c r="E4" s="3" t="s">
        <v>1317</v>
      </c>
      <c r="F4" s="3" t="s">
        <v>63</v>
      </c>
      <c r="G4" s="3" t="s">
        <v>64</v>
      </c>
      <c r="H4" s="3" t="s">
        <v>65</v>
      </c>
      <c r="I4" s="3" t="s">
        <v>1318</v>
      </c>
    </row>
    <row r="5" customFormat="false" ht="21.75" hidden="false" customHeight="true" outlineLevel="0" collapsed="false">
      <c r="B5" s="4" t="s">
        <v>1319</v>
      </c>
      <c r="C5" s="4" t="s">
        <v>1320</v>
      </c>
      <c r="D5" s="4" t="s">
        <v>1321</v>
      </c>
      <c r="E5" s="4"/>
      <c r="F5" s="5" t="n">
        <v>0.6</v>
      </c>
      <c r="G5" s="13"/>
      <c r="H5" s="4" t="s">
        <v>71</v>
      </c>
      <c r="I5" s="4" t="s">
        <v>1322</v>
      </c>
    </row>
    <row r="6" customFormat="false" ht="21.75" hidden="false" customHeight="true" outlineLevel="0" collapsed="false">
      <c r="B6" s="7" t="s">
        <v>1319</v>
      </c>
      <c r="C6" s="7" t="s">
        <v>1323</v>
      </c>
      <c r="D6" s="7" t="s">
        <v>1324</v>
      </c>
      <c r="E6" s="7"/>
      <c r="F6" s="8" t="n">
        <v>0.45</v>
      </c>
      <c r="G6" s="14"/>
      <c r="H6" s="7" t="s">
        <v>71</v>
      </c>
      <c r="I6" s="7" t="s">
        <v>1325</v>
      </c>
    </row>
    <row r="7" customFormat="false" ht="21.75" hidden="false" customHeight="true" outlineLevel="0" collapsed="false">
      <c r="B7" s="4" t="s">
        <v>1319</v>
      </c>
      <c r="C7" s="4" t="s">
        <v>1326</v>
      </c>
      <c r="D7" s="4" t="s">
        <v>1327</v>
      </c>
      <c r="E7" s="4"/>
      <c r="F7" s="5" t="n">
        <v>0.35</v>
      </c>
      <c r="G7" s="13"/>
      <c r="H7" s="4" t="s">
        <v>71</v>
      </c>
      <c r="I7" s="4" t="s">
        <v>1328</v>
      </c>
    </row>
    <row r="8" customFormat="false" ht="21.75" hidden="false" customHeight="true" outlineLevel="0" collapsed="false">
      <c r="B8" s="7" t="s">
        <v>1319</v>
      </c>
      <c r="C8" s="7" t="s">
        <v>1329</v>
      </c>
      <c r="D8" s="7" t="s">
        <v>1330</v>
      </c>
      <c r="E8" s="7"/>
      <c r="F8" s="8" t="n">
        <v>1.25</v>
      </c>
      <c r="G8" s="14"/>
      <c r="H8" s="7" t="s">
        <v>71</v>
      </c>
      <c r="I8" s="7" t="s">
        <v>1331</v>
      </c>
    </row>
    <row r="9" customFormat="false" ht="21.75" hidden="false" customHeight="true" outlineLevel="0" collapsed="false">
      <c r="B9" s="4" t="s">
        <v>1319</v>
      </c>
      <c r="C9" s="4" t="s">
        <v>1332</v>
      </c>
      <c r="D9" s="4" t="s">
        <v>1333</v>
      </c>
      <c r="E9" s="4"/>
      <c r="F9" s="5" t="n">
        <v>0.21</v>
      </c>
      <c r="G9" s="13"/>
      <c r="H9" s="4" t="s">
        <v>71</v>
      </c>
      <c r="I9" s="4" t="s">
        <v>1334</v>
      </c>
    </row>
    <row r="10" customFormat="false" ht="21.75" hidden="false" customHeight="true" outlineLevel="0" collapsed="false">
      <c r="B10" s="7" t="s">
        <v>1319</v>
      </c>
      <c r="C10" s="7" t="s">
        <v>1335</v>
      </c>
      <c r="D10" s="7" t="s">
        <v>1336</v>
      </c>
      <c r="E10" s="7"/>
      <c r="F10" s="8" t="n">
        <v>2.5</v>
      </c>
      <c r="G10" s="14"/>
      <c r="H10" s="7" t="s">
        <v>71</v>
      </c>
      <c r="I10" s="7" t="s">
        <v>1337</v>
      </c>
    </row>
    <row r="11" customFormat="false" ht="21.75" hidden="false" customHeight="true" outlineLevel="0" collapsed="false">
      <c r="B11" s="4" t="s">
        <v>1319</v>
      </c>
      <c r="C11" s="4" t="s">
        <v>1338</v>
      </c>
      <c r="D11" s="4" t="s">
        <v>1339</v>
      </c>
      <c r="E11" s="4"/>
      <c r="F11" s="5" t="n">
        <v>0.6</v>
      </c>
      <c r="G11" s="13"/>
      <c r="H11" s="4" t="s">
        <v>71</v>
      </c>
      <c r="I11" s="4" t="s">
        <v>1340</v>
      </c>
    </row>
    <row r="12" customFormat="false" ht="21.75" hidden="false" customHeight="true" outlineLevel="0" collapsed="false">
      <c r="B12" s="7" t="s">
        <v>1319</v>
      </c>
      <c r="C12" s="7" t="s">
        <v>1341</v>
      </c>
      <c r="D12" s="7" t="s">
        <v>1342</v>
      </c>
      <c r="E12" s="7"/>
      <c r="F12" s="8" t="n">
        <v>0.6</v>
      </c>
      <c r="G12" s="14"/>
      <c r="H12" s="7" t="s">
        <v>71</v>
      </c>
      <c r="I12" s="7" t="s">
        <v>1343</v>
      </c>
    </row>
    <row r="13" customFormat="false" ht="21.75" hidden="false" customHeight="true" outlineLevel="0" collapsed="false">
      <c r="B13" s="4" t="s">
        <v>1319</v>
      </c>
      <c r="C13" s="4" t="s">
        <v>1344</v>
      </c>
      <c r="D13" s="4" t="s">
        <v>1345</v>
      </c>
      <c r="E13" s="4"/>
      <c r="F13" s="5" t="n">
        <v>1.5</v>
      </c>
      <c r="G13" s="13"/>
      <c r="H13" s="4" t="s">
        <v>71</v>
      </c>
      <c r="I13" s="4" t="s">
        <v>1346</v>
      </c>
    </row>
    <row r="14" customFormat="false" ht="21.75" hidden="false" customHeight="true" outlineLevel="0" collapsed="false">
      <c r="B14" s="7" t="s">
        <v>1319</v>
      </c>
      <c r="C14" s="7" t="s">
        <v>1347</v>
      </c>
      <c r="D14" s="7" t="s">
        <v>1348</v>
      </c>
      <c r="E14" s="7"/>
      <c r="F14" s="8" t="n">
        <v>1.1</v>
      </c>
      <c r="G14" s="14"/>
      <c r="H14" s="7" t="s">
        <v>71</v>
      </c>
      <c r="I14" s="7" t="s">
        <v>1349</v>
      </c>
    </row>
    <row r="15" customFormat="false" ht="21.75" hidden="false" customHeight="true" outlineLevel="0" collapsed="false">
      <c r="B15" s="4" t="s">
        <v>1319</v>
      </c>
      <c r="C15" s="4" t="s">
        <v>1350</v>
      </c>
      <c r="D15" s="4" t="s">
        <v>1351</v>
      </c>
      <c r="E15" s="4"/>
      <c r="F15" s="5" t="n">
        <v>0.13</v>
      </c>
      <c r="G15" s="13"/>
      <c r="H15" s="4" t="s">
        <v>71</v>
      </c>
      <c r="I15" s="4" t="s">
        <v>1352</v>
      </c>
    </row>
    <row r="16" customFormat="false" ht="21.75" hidden="false" customHeight="true" outlineLevel="0" collapsed="false">
      <c r="B16" s="7" t="s">
        <v>1319</v>
      </c>
      <c r="C16" s="7" t="s">
        <v>1353</v>
      </c>
      <c r="D16" s="7" t="s">
        <v>1354</v>
      </c>
      <c r="E16" s="7"/>
      <c r="F16" s="8" t="n">
        <v>3.4</v>
      </c>
      <c r="G16" s="14"/>
      <c r="H16" s="7" t="s">
        <v>84</v>
      </c>
      <c r="I16" s="7" t="s">
        <v>1355</v>
      </c>
    </row>
    <row r="17" customFormat="false" ht="21.75" hidden="false" customHeight="true" outlineLevel="0" collapsed="false">
      <c r="B17" s="4" t="s">
        <v>1319</v>
      </c>
      <c r="C17" s="4" t="s">
        <v>1356</v>
      </c>
      <c r="D17" s="4" t="s">
        <v>1357</v>
      </c>
      <c r="E17" s="4"/>
      <c r="F17" s="5" t="n">
        <v>8</v>
      </c>
      <c r="G17" s="13"/>
      <c r="H17" s="4" t="s">
        <v>71</v>
      </c>
      <c r="I17" s="4" t="s">
        <v>1358</v>
      </c>
    </row>
    <row r="18" customFormat="false" ht="21.75" hidden="false" customHeight="true" outlineLevel="0" collapsed="false">
      <c r="B18" s="7" t="s">
        <v>1319</v>
      </c>
      <c r="C18" s="7" t="s">
        <v>1359</v>
      </c>
      <c r="D18" s="7" t="s">
        <v>1360</v>
      </c>
      <c r="E18" s="7"/>
      <c r="F18" s="8" t="n">
        <v>3.4</v>
      </c>
      <c r="G18" s="14"/>
      <c r="H18" s="7" t="s">
        <v>84</v>
      </c>
      <c r="I18" s="7" t="s">
        <v>1361</v>
      </c>
    </row>
    <row r="19" customFormat="false" ht="21.75" hidden="false" customHeight="true" outlineLevel="0" collapsed="false">
      <c r="B19" s="4" t="s">
        <v>1319</v>
      </c>
      <c r="C19" s="4" t="s">
        <v>1362</v>
      </c>
      <c r="D19" s="4" t="s">
        <v>1363</v>
      </c>
      <c r="E19" s="4"/>
      <c r="F19" s="5" t="n">
        <v>8.5</v>
      </c>
      <c r="G19" s="13"/>
      <c r="H19" s="4" t="s">
        <v>71</v>
      </c>
      <c r="I19" s="4" t="s">
        <v>1364</v>
      </c>
    </row>
    <row r="20" customFormat="false" ht="21.75" hidden="false" customHeight="true" outlineLevel="0" collapsed="false">
      <c r="B20" s="7" t="s">
        <v>1319</v>
      </c>
      <c r="C20" s="7" t="s">
        <v>1365</v>
      </c>
      <c r="D20" s="7" t="s">
        <v>721</v>
      </c>
      <c r="E20" s="7"/>
      <c r="F20" s="8" t="n">
        <v>1.1</v>
      </c>
      <c r="G20" s="14"/>
      <c r="H20" s="7" t="s">
        <v>71</v>
      </c>
      <c r="I20" s="7" t="s">
        <v>1366</v>
      </c>
    </row>
    <row r="21" customFormat="false" ht="21.75" hidden="false" customHeight="true" outlineLevel="0" collapsed="false">
      <c r="B21" s="4" t="s">
        <v>1319</v>
      </c>
      <c r="C21" s="4" t="s">
        <v>1367</v>
      </c>
      <c r="D21" s="4" t="s">
        <v>1368</v>
      </c>
      <c r="E21" s="4"/>
      <c r="F21" s="5" t="n">
        <v>0.8</v>
      </c>
      <c r="G21" s="13"/>
      <c r="H21" s="4" t="s">
        <v>71</v>
      </c>
      <c r="I21" s="4" t="s">
        <v>1369</v>
      </c>
    </row>
    <row r="22" customFormat="false" ht="21.75" hidden="false" customHeight="true" outlineLevel="0" collapsed="false">
      <c r="B22" s="7" t="s">
        <v>1319</v>
      </c>
      <c r="C22" s="7" t="s">
        <v>1370</v>
      </c>
      <c r="D22" s="7" t="s">
        <v>1371</v>
      </c>
      <c r="E22" s="7"/>
      <c r="F22" s="8" t="n">
        <v>3</v>
      </c>
      <c r="G22" s="14"/>
      <c r="H22" s="7" t="s">
        <v>71</v>
      </c>
      <c r="I22" s="7" t="s">
        <v>1372</v>
      </c>
    </row>
    <row r="23" customFormat="false" ht="21.75" hidden="false" customHeight="true" outlineLevel="0" collapsed="false">
      <c r="B23" s="4" t="s">
        <v>1319</v>
      </c>
      <c r="C23" s="4" t="s">
        <v>1373</v>
      </c>
      <c r="D23" s="4" t="s">
        <v>1374</v>
      </c>
      <c r="E23" s="4"/>
      <c r="F23" s="5" t="n">
        <v>6</v>
      </c>
      <c r="G23" s="13"/>
      <c r="H23" s="4" t="s">
        <v>71</v>
      </c>
      <c r="I23" s="4" t="s">
        <v>1375</v>
      </c>
    </row>
    <row r="24" customFormat="false" ht="21.75" hidden="false" customHeight="true" outlineLevel="0" collapsed="false">
      <c r="B24" s="7" t="s">
        <v>1319</v>
      </c>
      <c r="C24" s="7" t="s">
        <v>1376</v>
      </c>
      <c r="D24" s="7" t="s">
        <v>1377</v>
      </c>
      <c r="E24" s="7"/>
      <c r="F24" s="8" t="n">
        <v>10</v>
      </c>
      <c r="G24" s="14"/>
      <c r="H24" s="7" t="s">
        <v>71</v>
      </c>
      <c r="I24" s="7" t="s">
        <v>1378</v>
      </c>
    </row>
    <row r="25" customFormat="false" ht="21.75" hidden="false" customHeight="true" outlineLevel="0" collapsed="false">
      <c r="B25" s="4" t="s">
        <v>1319</v>
      </c>
      <c r="C25" s="4" t="s">
        <v>1379</v>
      </c>
      <c r="D25" s="4" t="s">
        <v>1380</v>
      </c>
      <c r="E25" s="4"/>
      <c r="F25" s="5" t="n">
        <v>1.5</v>
      </c>
      <c r="G25" s="13"/>
      <c r="H25" s="4" t="s">
        <v>71</v>
      </c>
      <c r="I25" s="4" t="s">
        <v>1381</v>
      </c>
    </row>
    <row r="26" customFormat="false" ht="21.75" hidden="false" customHeight="true" outlineLevel="0" collapsed="false">
      <c r="B26" s="7" t="s">
        <v>1319</v>
      </c>
      <c r="C26" s="7" t="s">
        <v>1382</v>
      </c>
      <c r="D26" s="7" t="s">
        <v>1383</v>
      </c>
      <c r="E26" s="7"/>
      <c r="F26" s="8" t="n">
        <v>1.6</v>
      </c>
      <c r="G26" s="14"/>
      <c r="H26" s="7" t="s">
        <v>71</v>
      </c>
      <c r="I26" s="7" t="s">
        <v>1384</v>
      </c>
    </row>
    <row r="27" customFormat="false" ht="21.75" hidden="false" customHeight="true" outlineLevel="0" collapsed="false">
      <c r="B27" s="4" t="s">
        <v>1319</v>
      </c>
      <c r="C27" s="4" t="s">
        <v>1385</v>
      </c>
      <c r="D27" s="4" t="s">
        <v>1386</v>
      </c>
      <c r="E27" s="4"/>
      <c r="F27" s="5" t="n">
        <v>0.38</v>
      </c>
      <c r="G27" s="13"/>
      <c r="H27" s="4" t="s">
        <v>71</v>
      </c>
      <c r="I27" s="4" t="s">
        <v>1387</v>
      </c>
    </row>
    <row r="28" customFormat="false" ht="21.75" hidden="false" customHeight="true" outlineLevel="0" collapsed="false">
      <c r="B28" s="7" t="s">
        <v>1319</v>
      </c>
      <c r="C28" s="7" t="s">
        <v>1388</v>
      </c>
      <c r="D28" s="7" t="s">
        <v>1389</v>
      </c>
      <c r="E28" s="7"/>
      <c r="F28" s="8" t="n">
        <v>0.09</v>
      </c>
      <c r="G28" s="14"/>
      <c r="H28" s="7" t="s">
        <v>84</v>
      </c>
      <c r="I28" s="7" t="s">
        <v>1390</v>
      </c>
    </row>
    <row r="29" customFormat="false" ht="21.75" hidden="false" customHeight="true" outlineLevel="0" collapsed="false">
      <c r="B29" s="4" t="s">
        <v>1319</v>
      </c>
      <c r="C29" s="4" t="s">
        <v>1391</v>
      </c>
      <c r="D29" s="4" t="s">
        <v>1392</v>
      </c>
      <c r="E29" s="4"/>
      <c r="F29" s="5" t="n">
        <v>1.4</v>
      </c>
      <c r="G29" s="13"/>
      <c r="H29" s="4" t="s">
        <v>71</v>
      </c>
      <c r="I29" s="4" t="s">
        <v>1393</v>
      </c>
    </row>
    <row r="30" customFormat="false" ht="21.75" hidden="false" customHeight="true" outlineLevel="0" collapsed="false">
      <c r="B30" s="7" t="s">
        <v>1319</v>
      </c>
      <c r="C30" s="7" t="s">
        <v>1394</v>
      </c>
      <c r="D30" s="7" t="s">
        <v>1395</v>
      </c>
      <c r="E30" s="7"/>
      <c r="F30" s="8" t="n">
        <v>5.6</v>
      </c>
      <c r="G30" s="14"/>
      <c r="H30" s="7" t="s">
        <v>71</v>
      </c>
      <c r="I30" s="7" t="s">
        <v>1396</v>
      </c>
    </row>
    <row r="31" customFormat="false" ht="21.75" hidden="false" customHeight="true" outlineLevel="0" collapsed="false">
      <c r="B31" s="4" t="s">
        <v>1397</v>
      </c>
      <c r="C31" s="4" t="n">
        <v>15</v>
      </c>
      <c r="D31" s="4" t="s">
        <v>1398</v>
      </c>
      <c r="E31" s="4" t="s">
        <v>75</v>
      </c>
      <c r="F31" s="5" t="n">
        <v>6.94</v>
      </c>
      <c r="G31" s="13" t="n">
        <v>0</v>
      </c>
      <c r="H31" s="4" t="s">
        <v>84</v>
      </c>
      <c r="I31" s="4" t="s">
        <v>1399</v>
      </c>
    </row>
    <row r="32" customFormat="false" ht="21.75" hidden="false" customHeight="true" outlineLevel="0" collapsed="false">
      <c r="B32" s="7" t="s">
        <v>1397</v>
      </c>
      <c r="C32" s="7" t="n">
        <v>20</v>
      </c>
      <c r="D32" s="7" t="s">
        <v>1400</v>
      </c>
      <c r="E32" s="7" t="s">
        <v>75</v>
      </c>
      <c r="F32" s="8" t="n">
        <v>0.13</v>
      </c>
      <c r="G32" s="14" t="n">
        <v>0</v>
      </c>
      <c r="H32" s="7" t="s">
        <v>84</v>
      </c>
      <c r="I32" s="7" t="s">
        <v>1401</v>
      </c>
    </row>
    <row r="33" customFormat="false" ht="21.75" hidden="false" customHeight="true" outlineLevel="0" collapsed="false">
      <c r="B33" s="4" t="s">
        <v>1397</v>
      </c>
      <c r="C33" s="4" t="n">
        <v>23</v>
      </c>
      <c r="D33" s="4" t="s">
        <v>1402</v>
      </c>
      <c r="E33" s="4" t="s">
        <v>75</v>
      </c>
      <c r="F33" s="5" t="n">
        <v>4.63</v>
      </c>
      <c r="G33" s="13" t="n">
        <v>19</v>
      </c>
      <c r="H33" s="4" t="s">
        <v>71</v>
      </c>
      <c r="I33" s="4" t="s">
        <v>1403</v>
      </c>
    </row>
    <row r="34" customFormat="false" ht="21.75" hidden="false" customHeight="true" outlineLevel="0" collapsed="false">
      <c r="B34" s="7" t="s">
        <v>1397</v>
      </c>
      <c r="C34" s="7" t="n">
        <v>36</v>
      </c>
      <c r="D34" s="7" t="s">
        <v>1404</v>
      </c>
      <c r="E34" s="7" t="s">
        <v>75</v>
      </c>
      <c r="F34" s="8" t="n">
        <v>1.77</v>
      </c>
      <c r="G34" s="14" t="n">
        <v>0</v>
      </c>
      <c r="H34" s="7" t="s">
        <v>84</v>
      </c>
      <c r="I34" s="7" t="s">
        <v>1405</v>
      </c>
    </row>
    <row r="35" customFormat="false" ht="21.75" hidden="false" customHeight="true" outlineLevel="0" collapsed="false">
      <c r="B35" s="4" t="s">
        <v>1397</v>
      </c>
      <c r="C35" s="4" t="n">
        <v>37</v>
      </c>
      <c r="D35" s="4" t="s">
        <v>1406</v>
      </c>
      <c r="E35" s="4" t="s">
        <v>75</v>
      </c>
      <c r="F35" s="5" t="n">
        <v>2.7</v>
      </c>
      <c r="G35" s="13" t="n">
        <v>14</v>
      </c>
      <c r="H35" s="4" t="s">
        <v>71</v>
      </c>
      <c r="I35" s="4" t="s">
        <v>1407</v>
      </c>
    </row>
    <row r="36" customFormat="false" ht="21.75" hidden="false" customHeight="true" outlineLevel="0" collapsed="false">
      <c r="B36" s="7" t="s">
        <v>1397</v>
      </c>
      <c r="C36" s="7" t="n">
        <v>38</v>
      </c>
      <c r="D36" s="7" t="s">
        <v>1408</v>
      </c>
      <c r="E36" s="7" t="s">
        <v>75</v>
      </c>
      <c r="F36" s="8" t="n">
        <v>3.47</v>
      </c>
      <c r="G36" s="14" t="n">
        <v>13</v>
      </c>
      <c r="H36" s="7" t="s">
        <v>71</v>
      </c>
      <c r="I36" s="7" t="s">
        <v>1409</v>
      </c>
    </row>
    <row r="37" customFormat="false" ht="21.75" hidden="false" customHeight="true" outlineLevel="0" collapsed="false">
      <c r="B37" s="4" t="s">
        <v>1397</v>
      </c>
      <c r="C37" s="4" t="n">
        <v>14</v>
      </c>
      <c r="D37" s="4" t="s">
        <v>1410</v>
      </c>
      <c r="E37" s="4" t="s">
        <v>1411</v>
      </c>
      <c r="F37" s="5" t="n">
        <v>1</v>
      </c>
      <c r="G37" s="13" t="n">
        <v>33</v>
      </c>
      <c r="H37" s="4" t="s">
        <v>71</v>
      </c>
      <c r="I37" s="4" t="s">
        <v>1412</v>
      </c>
    </row>
    <row r="38" customFormat="false" ht="21.75" hidden="false" customHeight="true" outlineLevel="0" collapsed="false">
      <c r="B38" s="7" t="s">
        <v>1397</v>
      </c>
      <c r="C38" s="7" t="n">
        <v>66</v>
      </c>
      <c r="D38" s="7" t="s">
        <v>1413</v>
      </c>
      <c r="E38" s="7" t="s">
        <v>1411</v>
      </c>
      <c r="F38" s="8" t="n">
        <v>115.63</v>
      </c>
      <c r="G38" s="14" t="n">
        <v>1</v>
      </c>
      <c r="H38" s="7" t="s">
        <v>71</v>
      </c>
      <c r="I38" s="7" t="s">
        <v>1414</v>
      </c>
    </row>
    <row r="39" customFormat="false" ht="21.75" hidden="false" customHeight="true" outlineLevel="0" collapsed="false">
      <c r="B39" s="4" t="s">
        <v>1397</v>
      </c>
      <c r="C39" s="4" t="n">
        <v>21</v>
      </c>
      <c r="D39" s="4" t="s">
        <v>1415</v>
      </c>
      <c r="E39" s="4" t="s">
        <v>1416</v>
      </c>
      <c r="F39" s="5" t="n">
        <v>2.12</v>
      </c>
      <c r="G39" s="13" t="s">
        <v>1417</v>
      </c>
      <c r="H39" s="4" t="s">
        <v>84</v>
      </c>
      <c r="I39" s="4" t="s">
        <v>1418</v>
      </c>
    </row>
    <row r="40" customFormat="false" ht="21.75" hidden="false" customHeight="true" outlineLevel="0" collapsed="false">
      <c r="B40" s="7" t="s">
        <v>1397</v>
      </c>
      <c r="C40" s="7" t="n">
        <v>70</v>
      </c>
      <c r="D40" s="7" t="s">
        <v>1419</v>
      </c>
      <c r="E40" s="7" t="s">
        <v>1416</v>
      </c>
      <c r="F40" s="8" t="n">
        <v>10.02</v>
      </c>
      <c r="G40" s="14" t="s">
        <v>1417</v>
      </c>
      <c r="H40" s="7" t="s">
        <v>84</v>
      </c>
      <c r="I40" s="7" t="s">
        <v>1420</v>
      </c>
    </row>
    <row r="41" customFormat="false" ht="21.75" hidden="false" customHeight="true" outlineLevel="0" collapsed="false">
      <c r="B41" s="4" t="s">
        <v>1397</v>
      </c>
      <c r="C41" s="4" t="n">
        <v>32</v>
      </c>
      <c r="D41" s="4" t="s">
        <v>1421</v>
      </c>
      <c r="E41" s="4" t="s">
        <v>155</v>
      </c>
      <c r="F41" s="5" t="n">
        <v>1.77</v>
      </c>
      <c r="G41" s="13" t="n">
        <v>15</v>
      </c>
      <c r="H41" s="4" t="s">
        <v>71</v>
      </c>
      <c r="I41" s="4" t="s">
        <v>1405</v>
      </c>
    </row>
    <row r="42" customFormat="false" ht="21.75" hidden="false" customHeight="true" outlineLevel="0" collapsed="false">
      <c r="B42" s="7" t="s">
        <v>1397</v>
      </c>
      <c r="C42" s="7" t="n">
        <v>33</v>
      </c>
      <c r="D42" s="7" t="s">
        <v>1422</v>
      </c>
      <c r="E42" s="7" t="s">
        <v>155</v>
      </c>
      <c r="F42" s="8" t="n">
        <v>3.82</v>
      </c>
      <c r="G42" s="14" t="n">
        <v>15</v>
      </c>
      <c r="H42" s="7" t="s">
        <v>71</v>
      </c>
      <c r="I42" s="7" t="s">
        <v>1423</v>
      </c>
    </row>
    <row r="43" customFormat="false" ht="21.75" hidden="false" customHeight="true" outlineLevel="0" collapsed="false">
      <c r="B43" s="4" t="s">
        <v>1397</v>
      </c>
      <c r="C43" s="4" t="n">
        <v>34</v>
      </c>
      <c r="D43" s="4" t="s">
        <v>1424</v>
      </c>
      <c r="E43" s="4" t="s">
        <v>155</v>
      </c>
      <c r="F43" s="5" t="n">
        <v>5.2</v>
      </c>
      <c r="G43" s="13" t="n">
        <v>35</v>
      </c>
      <c r="H43" s="4" t="s">
        <v>71</v>
      </c>
      <c r="I43" s="4" t="s">
        <v>1425</v>
      </c>
    </row>
    <row r="44" customFormat="false" ht="21.75" hidden="false" customHeight="true" outlineLevel="0" collapsed="false">
      <c r="B44" s="7" t="s">
        <v>1397</v>
      </c>
      <c r="C44" s="7" t="n">
        <v>28</v>
      </c>
      <c r="D44" s="7" t="s">
        <v>1426</v>
      </c>
      <c r="E44" s="7" t="s">
        <v>1427</v>
      </c>
      <c r="F44" s="8" t="n">
        <v>0.69</v>
      </c>
      <c r="G44" s="14" t="n">
        <v>4</v>
      </c>
      <c r="H44" s="7" t="s">
        <v>71</v>
      </c>
      <c r="I44" s="7" t="s">
        <v>1428</v>
      </c>
    </row>
    <row r="45" customFormat="false" ht="21.75" hidden="false" customHeight="true" outlineLevel="0" collapsed="false">
      <c r="B45" s="4" t="s">
        <v>1397</v>
      </c>
      <c r="C45" s="4" t="n">
        <v>74</v>
      </c>
      <c r="D45" s="4" t="s">
        <v>1429</v>
      </c>
      <c r="E45" s="4" t="s">
        <v>505</v>
      </c>
      <c r="F45" s="5" t="n">
        <v>0.71</v>
      </c>
      <c r="G45" s="13" t="s">
        <v>1417</v>
      </c>
      <c r="H45" s="4" t="s">
        <v>84</v>
      </c>
      <c r="I45" s="4" t="s">
        <v>1430</v>
      </c>
    </row>
    <row r="46" customFormat="false" ht="21.75" hidden="false" customHeight="true" outlineLevel="0" collapsed="false">
      <c r="B46" s="7" t="s">
        <v>1431</v>
      </c>
      <c r="C46" s="7" t="s">
        <v>1432</v>
      </c>
      <c r="D46" s="7" t="s">
        <v>1433</v>
      </c>
      <c r="E46" s="7"/>
      <c r="F46" s="8" t="n">
        <v>2.5</v>
      </c>
      <c r="G46" s="14" t="n">
        <v>0</v>
      </c>
      <c r="H46" s="7" t="s">
        <v>84</v>
      </c>
      <c r="I46" s="7"/>
    </row>
    <row r="47" customFormat="false" ht="21.75" hidden="false" customHeight="true" outlineLevel="0" collapsed="false">
      <c r="B47" s="4" t="s">
        <v>1431</v>
      </c>
      <c r="C47" s="4" t="s">
        <v>1434</v>
      </c>
      <c r="D47" s="4" t="s">
        <v>1435</v>
      </c>
      <c r="E47" s="4"/>
      <c r="F47" s="5" t="n">
        <v>0.35</v>
      </c>
      <c r="G47" s="13" t="n">
        <v>0</v>
      </c>
      <c r="H47" s="4" t="s">
        <v>84</v>
      </c>
      <c r="I47" s="4"/>
    </row>
    <row r="48" customFormat="false" ht="21.75" hidden="false" customHeight="true" outlineLevel="0" collapsed="false">
      <c r="B48" s="7" t="s">
        <v>1431</v>
      </c>
      <c r="C48" s="7" t="s">
        <v>1436</v>
      </c>
      <c r="D48" s="7" t="s">
        <v>1437</v>
      </c>
      <c r="E48" s="7"/>
      <c r="F48" s="8" t="n">
        <v>0.4</v>
      </c>
      <c r="G48" s="14" t="n">
        <v>0</v>
      </c>
      <c r="H48" s="7" t="s">
        <v>84</v>
      </c>
      <c r="I48" s="7"/>
    </row>
    <row r="49" customFormat="false" ht="21.75" hidden="false" customHeight="true" outlineLevel="0" collapsed="false">
      <c r="B49" s="4" t="s">
        <v>1431</v>
      </c>
      <c r="C49" s="4" t="s">
        <v>1438</v>
      </c>
      <c r="D49" s="4" t="s">
        <v>1327</v>
      </c>
      <c r="E49" s="4"/>
      <c r="F49" s="5" t="n">
        <v>0.4</v>
      </c>
      <c r="G49" s="13" t="n">
        <v>180</v>
      </c>
      <c r="H49" s="4" t="s">
        <v>71</v>
      </c>
      <c r="I49" s="4"/>
    </row>
    <row r="50" customFormat="false" ht="21.75" hidden="false" customHeight="true" outlineLevel="0" collapsed="false">
      <c r="B50" s="7" t="s">
        <v>1431</v>
      </c>
      <c r="C50" s="7" t="s">
        <v>1439</v>
      </c>
      <c r="D50" s="7" t="s">
        <v>1440</v>
      </c>
      <c r="E50" s="7"/>
      <c r="F50" s="8" t="n">
        <v>0.85</v>
      </c>
      <c r="G50" s="14" t="n">
        <v>207</v>
      </c>
      <c r="H50" s="7" t="s">
        <v>71</v>
      </c>
      <c r="I50" s="7"/>
    </row>
    <row r="51" customFormat="false" ht="21.75" hidden="false" customHeight="true" outlineLevel="0" collapsed="false">
      <c r="B51" s="4" t="s">
        <v>1431</v>
      </c>
      <c r="C51" s="4" t="s">
        <v>1441</v>
      </c>
      <c r="D51" s="4" t="s">
        <v>1442</v>
      </c>
      <c r="E51" s="4"/>
      <c r="F51" s="5" t="n">
        <v>70</v>
      </c>
      <c r="G51" s="13" t="n">
        <v>0</v>
      </c>
      <c r="H51" s="4" t="s">
        <v>84</v>
      </c>
      <c r="I51" s="4"/>
    </row>
    <row r="52" customFormat="false" ht="21.75" hidden="false" customHeight="true" outlineLevel="0" collapsed="false">
      <c r="B52" s="7" t="s">
        <v>1431</v>
      </c>
      <c r="C52" s="7" t="s">
        <v>1443</v>
      </c>
      <c r="D52" s="7" t="s">
        <v>1444</v>
      </c>
      <c r="E52" s="7"/>
      <c r="F52" s="8" t="n">
        <v>35</v>
      </c>
      <c r="G52" s="14" t="n">
        <v>0</v>
      </c>
      <c r="H52" s="7" t="s">
        <v>84</v>
      </c>
      <c r="I52" s="7"/>
    </row>
    <row r="53" customFormat="false" ht="21.75" hidden="false" customHeight="true" outlineLevel="0" collapsed="false">
      <c r="B53" s="4" t="s">
        <v>1431</v>
      </c>
      <c r="C53" s="4" t="s">
        <v>1445</v>
      </c>
      <c r="D53" s="4" t="s">
        <v>1446</v>
      </c>
      <c r="E53" s="4"/>
      <c r="F53" s="5" t="n">
        <v>15</v>
      </c>
      <c r="G53" s="13" t="n">
        <v>1</v>
      </c>
      <c r="H53" s="4" t="s">
        <v>71</v>
      </c>
      <c r="I53" s="4"/>
    </row>
    <row r="54" customFormat="false" ht="21.75" hidden="false" customHeight="true" outlineLevel="0" collapsed="false">
      <c r="B54" s="7" t="s">
        <v>1431</v>
      </c>
      <c r="C54" s="7" t="s">
        <v>1447</v>
      </c>
      <c r="D54" s="7" t="s">
        <v>1448</v>
      </c>
      <c r="E54" s="7"/>
      <c r="F54" s="8" t="n">
        <v>10</v>
      </c>
      <c r="G54" s="14" t="n">
        <v>3</v>
      </c>
      <c r="H54" s="7" t="s">
        <v>71</v>
      </c>
      <c r="I54" s="7"/>
    </row>
    <row r="55" customFormat="false" ht="21.75" hidden="false" customHeight="true" outlineLevel="0" collapsed="false">
      <c r="B55" s="4" t="s">
        <v>1431</v>
      </c>
      <c r="C55" s="4" t="s">
        <v>1449</v>
      </c>
      <c r="D55" s="4" t="s">
        <v>1450</v>
      </c>
      <c r="E55" s="4"/>
      <c r="F55" s="5" t="n">
        <v>20</v>
      </c>
      <c r="G55" s="13" t="n">
        <v>1</v>
      </c>
      <c r="H55" s="4" t="s">
        <v>71</v>
      </c>
      <c r="I55" s="4"/>
    </row>
    <row r="56" customFormat="false" ht="21.75" hidden="false" customHeight="true" outlineLevel="0" collapsed="false">
      <c r="B56" s="7" t="s">
        <v>1431</v>
      </c>
      <c r="C56" s="7" t="s">
        <v>1451</v>
      </c>
      <c r="D56" s="7" t="s">
        <v>1452</v>
      </c>
      <c r="E56" s="7"/>
      <c r="F56" s="8" t="n">
        <v>13</v>
      </c>
      <c r="G56" s="14" t="n">
        <v>0</v>
      </c>
      <c r="H56" s="7" t="s">
        <v>84</v>
      </c>
      <c r="I56" s="7"/>
    </row>
    <row r="57" customFormat="false" ht="21.75" hidden="false" customHeight="true" outlineLevel="0" collapsed="false">
      <c r="B57" s="4" t="s">
        <v>1431</v>
      </c>
      <c r="C57" s="4" t="s">
        <v>1453</v>
      </c>
      <c r="D57" s="4" t="s">
        <v>862</v>
      </c>
      <c r="E57" s="4"/>
      <c r="F57" s="5" t="n">
        <v>3</v>
      </c>
      <c r="G57" s="13" t="n">
        <v>1</v>
      </c>
      <c r="H57" s="4" t="s">
        <v>71</v>
      </c>
      <c r="I57" s="4"/>
    </row>
    <row r="58" customFormat="false" ht="21.75" hidden="false" customHeight="true" outlineLevel="0" collapsed="false">
      <c r="B58" s="7" t="s">
        <v>1431</v>
      </c>
      <c r="C58" s="7" t="s">
        <v>1454</v>
      </c>
      <c r="D58" s="7" t="s">
        <v>1455</v>
      </c>
      <c r="E58" s="7"/>
      <c r="F58" s="8" t="n">
        <v>4</v>
      </c>
      <c r="G58" s="14" t="n">
        <v>0</v>
      </c>
      <c r="H58" s="7" t="s">
        <v>84</v>
      </c>
      <c r="I58" s="7"/>
    </row>
    <row r="59" customFormat="false" ht="21.75" hidden="false" customHeight="true" outlineLevel="0" collapsed="false">
      <c r="B59" s="4" t="s">
        <v>1431</v>
      </c>
      <c r="C59" s="4" t="s">
        <v>1456</v>
      </c>
      <c r="D59" s="4" t="s">
        <v>1457</v>
      </c>
      <c r="E59" s="4"/>
      <c r="F59" s="5" t="n">
        <v>80</v>
      </c>
      <c r="G59" s="13" t="n">
        <v>0</v>
      </c>
      <c r="H59" s="4" t="s">
        <v>84</v>
      </c>
      <c r="I59" s="4"/>
    </row>
    <row r="60" customFormat="false" ht="21.75" hidden="false" customHeight="true" outlineLevel="0" collapsed="false">
      <c r="B60" s="7" t="s">
        <v>1431</v>
      </c>
      <c r="C60" s="7" t="s">
        <v>1458</v>
      </c>
      <c r="D60" s="7" t="s">
        <v>1459</v>
      </c>
      <c r="E60" s="7"/>
      <c r="F60" s="8" t="n">
        <v>30</v>
      </c>
      <c r="G60" s="14" t="n">
        <v>1</v>
      </c>
      <c r="H60" s="7" t="s">
        <v>71</v>
      </c>
      <c r="I60" s="7"/>
    </row>
    <row r="61" customFormat="false" ht="21.75" hidden="false" customHeight="true" outlineLevel="0" collapsed="false">
      <c r="B61" s="4" t="s">
        <v>1431</v>
      </c>
      <c r="C61" s="4" t="s">
        <v>1460</v>
      </c>
      <c r="D61" s="4" t="s">
        <v>1461</v>
      </c>
      <c r="E61" s="4"/>
      <c r="F61" s="5" t="n">
        <v>2</v>
      </c>
      <c r="G61" s="13" t="n">
        <v>0</v>
      </c>
      <c r="H61" s="4" t="s">
        <v>84</v>
      </c>
      <c r="I61" s="4"/>
    </row>
    <row r="62" customFormat="false" ht="21.75" hidden="false" customHeight="true" outlineLevel="0" collapsed="false">
      <c r="B62" s="7" t="s">
        <v>1431</v>
      </c>
      <c r="C62" s="7" t="s">
        <v>1462</v>
      </c>
      <c r="D62" s="7" t="s">
        <v>1463</v>
      </c>
      <c r="E62" s="7"/>
      <c r="F62" s="8" t="n">
        <v>30</v>
      </c>
      <c r="G62" s="14" t="n">
        <v>0</v>
      </c>
      <c r="H62" s="7" t="s">
        <v>84</v>
      </c>
      <c r="I62" s="7"/>
    </row>
    <row r="63" customFormat="false" ht="21.75" hidden="false" customHeight="true" outlineLevel="0" collapsed="false">
      <c r="B63" s="4" t="s">
        <v>1431</v>
      </c>
      <c r="C63" s="4" t="s">
        <v>1464</v>
      </c>
      <c r="D63" s="4" t="s">
        <v>1465</v>
      </c>
      <c r="E63" s="4"/>
      <c r="F63" s="5" t="n">
        <v>7</v>
      </c>
      <c r="G63" s="13" t="n">
        <v>0</v>
      </c>
      <c r="H63" s="4" t="s">
        <v>84</v>
      </c>
      <c r="I63" s="4"/>
    </row>
    <row r="64" customFormat="false" ht="21.75" hidden="false" customHeight="true" outlineLevel="0" collapsed="false">
      <c r="B64" s="7" t="s">
        <v>1431</v>
      </c>
      <c r="C64" s="7" t="s">
        <v>1466</v>
      </c>
      <c r="D64" s="7" t="s">
        <v>1467</v>
      </c>
      <c r="E64" s="7"/>
      <c r="F64" s="8" t="n">
        <v>12</v>
      </c>
      <c r="G64" s="14" t="n">
        <v>0</v>
      </c>
      <c r="H64" s="7" t="s">
        <v>84</v>
      </c>
      <c r="I64" s="7"/>
    </row>
    <row r="65" customFormat="false" ht="21.75" hidden="false" customHeight="true" outlineLevel="0" collapsed="false">
      <c r="B65" s="4" t="s">
        <v>1431</v>
      </c>
      <c r="C65" s="4" t="s">
        <v>1468</v>
      </c>
      <c r="D65" s="4" t="s">
        <v>1469</v>
      </c>
      <c r="E65" s="4"/>
      <c r="F65" s="5" t="n">
        <v>8</v>
      </c>
      <c r="G65" s="13" t="n">
        <v>0</v>
      </c>
      <c r="H65" s="4" t="s">
        <v>84</v>
      </c>
      <c r="I65" s="4"/>
    </row>
    <row r="66" customFormat="false" ht="21.75" hidden="false" customHeight="true" outlineLevel="0" collapsed="false">
      <c r="B66" s="7" t="s">
        <v>1431</v>
      </c>
      <c r="C66" s="7" t="s">
        <v>1470</v>
      </c>
      <c r="D66" s="7" t="s">
        <v>1471</v>
      </c>
      <c r="E66" s="7"/>
      <c r="F66" s="8" t="n">
        <v>20</v>
      </c>
      <c r="G66" s="14" t="n">
        <v>0</v>
      </c>
      <c r="H66" s="7" t="s">
        <v>84</v>
      </c>
      <c r="I66" s="7"/>
    </row>
    <row r="67" customFormat="false" ht="21.75" hidden="false" customHeight="true" outlineLevel="0" collapsed="false">
      <c r="B67" s="4" t="s">
        <v>1431</v>
      </c>
      <c r="C67" s="4" t="s">
        <v>1472</v>
      </c>
      <c r="D67" s="4" t="s">
        <v>1473</v>
      </c>
      <c r="E67" s="4"/>
      <c r="F67" s="5" t="n">
        <v>25</v>
      </c>
      <c r="G67" s="13" t="n">
        <v>0</v>
      </c>
      <c r="H67" s="4" t="s">
        <v>84</v>
      </c>
      <c r="I67" s="4"/>
    </row>
    <row r="68" customFormat="false" ht="21.75" hidden="false" customHeight="true" outlineLevel="0" collapsed="false">
      <c r="B68" s="7" t="s">
        <v>1431</v>
      </c>
      <c r="C68" s="7" t="s">
        <v>1474</v>
      </c>
      <c r="D68" s="7" t="s">
        <v>1475</v>
      </c>
      <c r="E68" s="7"/>
      <c r="F68" s="8" t="n">
        <v>25</v>
      </c>
      <c r="G68" s="14" t="n">
        <v>1</v>
      </c>
      <c r="H68" s="7" t="s">
        <v>71</v>
      </c>
      <c r="I68" s="7"/>
    </row>
    <row r="69" customFormat="false" ht="21.75" hidden="false" customHeight="true" outlineLevel="0" collapsed="false">
      <c r="B69" s="4" t="s">
        <v>1431</v>
      </c>
      <c r="C69" s="4" t="s">
        <v>1476</v>
      </c>
      <c r="D69" s="4" t="s">
        <v>1477</v>
      </c>
      <c r="E69" s="4"/>
      <c r="F69" s="5" t="n">
        <v>3</v>
      </c>
      <c r="G69" s="13" t="n">
        <v>2</v>
      </c>
      <c r="H69" s="4" t="s">
        <v>71</v>
      </c>
      <c r="I69" s="4"/>
    </row>
    <row r="70" customFormat="false" ht="21.75" hidden="false" customHeight="true" outlineLevel="0" collapsed="false">
      <c r="B70" s="7" t="s">
        <v>1431</v>
      </c>
      <c r="C70" s="7" t="s">
        <v>1478</v>
      </c>
      <c r="D70" s="7" t="s">
        <v>1479</v>
      </c>
      <c r="E70" s="7"/>
      <c r="F70" s="8" t="n">
        <v>4.2</v>
      </c>
      <c r="G70" s="14" t="n">
        <v>0</v>
      </c>
      <c r="H70" s="7" t="s">
        <v>84</v>
      </c>
      <c r="I70" s="7"/>
    </row>
    <row r="71" customFormat="false" ht="21.75" hidden="false" customHeight="true" outlineLevel="0" collapsed="false">
      <c r="B71" s="4" t="s">
        <v>1431</v>
      </c>
      <c r="C71" s="4" t="s">
        <v>1480</v>
      </c>
      <c r="D71" s="4" t="s">
        <v>1481</v>
      </c>
      <c r="E71" s="4"/>
      <c r="F71" s="5" t="n">
        <v>8</v>
      </c>
      <c r="G71" s="13" t="n">
        <v>0</v>
      </c>
      <c r="H71" s="4" t="s">
        <v>84</v>
      </c>
      <c r="I71" s="4"/>
    </row>
    <row r="72" customFormat="false" ht="21.75" hidden="false" customHeight="true" outlineLevel="0" collapsed="false">
      <c r="B72" s="7" t="s">
        <v>1431</v>
      </c>
      <c r="C72" s="7" t="s">
        <v>1482</v>
      </c>
      <c r="D72" s="7" t="s">
        <v>1483</v>
      </c>
      <c r="E72" s="7"/>
      <c r="F72" s="8" t="n">
        <v>8</v>
      </c>
      <c r="G72" s="14" t="n">
        <v>1</v>
      </c>
      <c r="H72" s="7" t="s">
        <v>71</v>
      </c>
      <c r="I72" s="7"/>
    </row>
    <row r="73" customFormat="false" ht="21.75" hidden="false" customHeight="true" outlineLevel="0" collapsed="false">
      <c r="B73" s="4" t="s">
        <v>1431</v>
      </c>
      <c r="C73" s="4" t="s">
        <v>1484</v>
      </c>
      <c r="D73" s="4" t="s">
        <v>1485</v>
      </c>
      <c r="E73" s="4"/>
      <c r="F73" s="5" t="n">
        <v>15</v>
      </c>
      <c r="G73" s="13" t="n">
        <v>1</v>
      </c>
      <c r="H73" s="4" t="s">
        <v>71</v>
      </c>
      <c r="I73" s="4"/>
    </row>
    <row r="74" customFormat="false" ht="21.75" hidden="false" customHeight="true" outlineLevel="0" collapsed="false">
      <c r="B74" s="7" t="s">
        <v>1431</v>
      </c>
      <c r="C74" s="7" t="s">
        <v>1486</v>
      </c>
      <c r="D74" s="7" t="s">
        <v>1487</v>
      </c>
      <c r="E74" s="7"/>
      <c r="F74" s="8" t="n">
        <v>25</v>
      </c>
      <c r="G74" s="14" t="n">
        <v>1</v>
      </c>
      <c r="H74" s="7" t="s">
        <v>71</v>
      </c>
      <c r="I74" s="7"/>
    </row>
    <row r="75" customFormat="false" ht="21.75" hidden="false" customHeight="true" outlineLevel="0" collapsed="false">
      <c r="B75" s="4" t="s">
        <v>1431</v>
      </c>
      <c r="C75" s="4" t="s">
        <v>1488</v>
      </c>
      <c r="D75" s="4" t="s">
        <v>1489</v>
      </c>
      <c r="E75" s="4"/>
      <c r="F75" s="5" t="n">
        <v>1.5</v>
      </c>
      <c r="G75" s="13" t="n">
        <v>0</v>
      </c>
      <c r="H75" s="4" t="s">
        <v>84</v>
      </c>
      <c r="I75" s="4"/>
    </row>
    <row r="76" customFormat="false" ht="21.75" hidden="false" customHeight="true" outlineLevel="0" collapsed="false">
      <c r="B76" s="7" t="s">
        <v>1431</v>
      </c>
      <c r="C76" s="7" t="s">
        <v>1490</v>
      </c>
      <c r="D76" s="7" t="s">
        <v>1491</v>
      </c>
      <c r="E76" s="7"/>
      <c r="F76" s="8" t="n">
        <v>0.29</v>
      </c>
      <c r="G76" s="14" t="n">
        <v>835</v>
      </c>
      <c r="H76" s="7" t="s">
        <v>71</v>
      </c>
      <c r="I76" s="7"/>
    </row>
    <row r="77" customFormat="false" ht="21.75" hidden="false" customHeight="true" outlineLevel="0" collapsed="false">
      <c r="B77" s="4" t="s">
        <v>1431</v>
      </c>
      <c r="C77" s="4" t="s">
        <v>1492</v>
      </c>
      <c r="D77" s="4" t="s">
        <v>1493</v>
      </c>
      <c r="E77" s="4"/>
      <c r="F77" s="5" t="n">
        <v>2.5</v>
      </c>
      <c r="G77" s="13" t="n">
        <v>3</v>
      </c>
      <c r="H77" s="4" t="s">
        <v>71</v>
      </c>
      <c r="I77" s="4"/>
    </row>
    <row r="78" customFormat="false" ht="21.75" hidden="false" customHeight="true" outlineLevel="0" collapsed="false">
      <c r="B78" s="7" t="s">
        <v>1431</v>
      </c>
      <c r="C78" s="7" t="s">
        <v>1494</v>
      </c>
      <c r="D78" s="7" t="s">
        <v>1495</v>
      </c>
      <c r="E78" s="7"/>
      <c r="F78" s="8" t="n">
        <v>1.5</v>
      </c>
      <c r="G78" s="14" t="n">
        <v>16</v>
      </c>
      <c r="H78" s="7" t="s">
        <v>71</v>
      </c>
      <c r="I78" s="7"/>
    </row>
    <row r="79" customFormat="false" ht="21.75" hidden="false" customHeight="true" outlineLevel="0" collapsed="false">
      <c r="B79" s="4" t="s">
        <v>1431</v>
      </c>
      <c r="C79" s="4" t="s">
        <v>1496</v>
      </c>
      <c r="D79" s="4" t="s">
        <v>1497</v>
      </c>
      <c r="E79" s="4"/>
      <c r="F79" s="5" t="n">
        <v>0.8</v>
      </c>
      <c r="G79" s="13" t="n">
        <v>0</v>
      </c>
      <c r="H79" s="4" t="s">
        <v>84</v>
      </c>
      <c r="I79" s="4"/>
    </row>
    <row r="80" customFormat="false" ht="21.75" hidden="false" customHeight="true" outlineLevel="0" collapsed="false">
      <c r="B80" s="7" t="s">
        <v>1431</v>
      </c>
      <c r="C80" s="7" t="s">
        <v>1498</v>
      </c>
      <c r="D80" s="7" t="s">
        <v>1351</v>
      </c>
      <c r="E80" s="7"/>
      <c r="F80" s="8" t="n">
        <v>0.29</v>
      </c>
      <c r="G80" s="14" t="n">
        <v>66</v>
      </c>
      <c r="H80" s="7" t="s">
        <v>71</v>
      </c>
      <c r="I80" s="7"/>
    </row>
    <row r="81" customFormat="false" ht="21.75" hidden="false" customHeight="true" outlineLevel="0" collapsed="false">
      <c r="B81" s="4" t="s">
        <v>1499</v>
      </c>
      <c r="C81" s="4" t="s">
        <v>1500</v>
      </c>
      <c r="D81" s="4" t="s">
        <v>1501</v>
      </c>
      <c r="E81" s="4"/>
      <c r="F81" s="5" t="n">
        <v>10</v>
      </c>
      <c r="G81" s="13" t="n">
        <v>0</v>
      </c>
      <c r="H81" s="4" t="s">
        <v>84</v>
      </c>
      <c r="I81" s="4"/>
    </row>
    <row r="82" customFormat="false" ht="21.75" hidden="false" customHeight="true" outlineLevel="0" collapsed="false">
      <c r="B82" s="7" t="s">
        <v>1499</v>
      </c>
      <c r="C82" s="7" t="s">
        <v>1502</v>
      </c>
      <c r="D82" s="7" t="s">
        <v>1503</v>
      </c>
      <c r="E82" s="7"/>
      <c r="F82" s="8" t="n">
        <v>0.35</v>
      </c>
      <c r="G82" s="14" t="n">
        <v>90</v>
      </c>
      <c r="H82" s="7" t="s">
        <v>71</v>
      </c>
      <c r="I82" s="7"/>
    </row>
    <row r="83" customFormat="false" ht="21.75" hidden="false" customHeight="true" outlineLevel="0" collapsed="false">
      <c r="B83" s="4" t="s">
        <v>1499</v>
      </c>
      <c r="C83" s="4" t="s">
        <v>1504</v>
      </c>
      <c r="D83" s="4" t="s">
        <v>1327</v>
      </c>
      <c r="E83" s="4"/>
      <c r="F83" s="5" t="n">
        <v>0.4</v>
      </c>
      <c r="G83" s="13" t="n">
        <v>138</v>
      </c>
      <c r="H83" s="4" t="s">
        <v>71</v>
      </c>
      <c r="I83" s="4"/>
    </row>
    <row r="84" customFormat="false" ht="21.75" hidden="false" customHeight="true" outlineLevel="0" collapsed="false">
      <c r="B84" s="7" t="s">
        <v>1499</v>
      </c>
      <c r="C84" s="7" t="s">
        <v>1505</v>
      </c>
      <c r="D84" s="7" t="s">
        <v>1440</v>
      </c>
      <c r="E84" s="7"/>
      <c r="F84" s="8" t="n">
        <v>0.4</v>
      </c>
      <c r="G84" s="14" t="n">
        <v>123</v>
      </c>
      <c r="H84" s="7" t="s">
        <v>71</v>
      </c>
      <c r="I84" s="7"/>
    </row>
    <row r="85" customFormat="false" ht="21.75" hidden="false" customHeight="true" outlineLevel="0" collapsed="false">
      <c r="B85" s="4" t="s">
        <v>1499</v>
      </c>
      <c r="C85" s="4" t="s">
        <v>1506</v>
      </c>
      <c r="D85" s="4" t="s">
        <v>1507</v>
      </c>
      <c r="E85" s="4"/>
      <c r="F85" s="5" t="n">
        <v>0.8</v>
      </c>
      <c r="G85" s="13" t="n">
        <v>153</v>
      </c>
      <c r="H85" s="4" t="s">
        <v>71</v>
      </c>
      <c r="I85" s="4"/>
    </row>
    <row r="86" customFormat="false" ht="21.75" hidden="false" customHeight="true" outlineLevel="0" collapsed="false">
      <c r="B86" s="7" t="s">
        <v>1499</v>
      </c>
      <c r="C86" s="7" t="s">
        <v>1508</v>
      </c>
      <c r="D86" s="7" t="s">
        <v>1509</v>
      </c>
      <c r="E86" s="7"/>
      <c r="F86" s="8" t="n">
        <v>5</v>
      </c>
      <c r="G86" s="14" t="n">
        <v>10</v>
      </c>
      <c r="H86" s="7" t="s">
        <v>71</v>
      </c>
      <c r="I86" s="7"/>
    </row>
    <row r="87" customFormat="false" ht="21.75" hidden="false" customHeight="true" outlineLevel="0" collapsed="false">
      <c r="B87" s="4" t="s">
        <v>1510</v>
      </c>
      <c r="C87" s="4" t="s">
        <v>1511</v>
      </c>
      <c r="D87" s="4" t="s">
        <v>1327</v>
      </c>
      <c r="E87" s="4"/>
      <c r="F87" s="5" t="n">
        <v>0.3</v>
      </c>
      <c r="G87" s="13"/>
      <c r="H87" s="4" t="s">
        <v>71</v>
      </c>
      <c r="I87" s="4"/>
    </row>
    <row r="88" customFormat="false" ht="21.75" hidden="false" customHeight="true" outlineLevel="0" collapsed="false">
      <c r="B88" s="7" t="s">
        <v>1510</v>
      </c>
      <c r="C88" s="7" t="s">
        <v>1512</v>
      </c>
      <c r="D88" s="7" t="s">
        <v>1440</v>
      </c>
      <c r="E88" s="7"/>
      <c r="F88" s="8" t="n">
        <v>0.3</v>
      </c>
      <c r="G88" s="14"/>
      <c r="H88" s="7" t="s">
        <v>71</v>
      </c>
      <c r="I88" s="7"/>
    </row>
    <row r="89" customFormat="false" ht="21.75" hidden="false" customHeight="true" outlineLevel="0" collapsed="false">
      <c r="B89" s="4" t="s">
        <v>1510</v>
      </c>
      <c r="C89" s="4" t="s">
        <v>1513</v>
      </c>
      <c r="D89" s="4" t="s">
        <v>1437</v>
      </c>
      <c r="E89" s="4"/>
      <c r="F89" s="5" t="n">
        <v>0.35</v>
      </c>
      <c r="G89" s="13"/>
      <c r="H89" s="4" t="s">
        <v>71</v>
      </c>
      <c r="I89" s="4"/>
    </row>
    <row r="90" customFormat="false" ht="21.75" hidden="false" customHeight="true" outlineLevel="0" collapsed="false">
      <c r="B90" s="7" t="s">
        <v>1510</v>
      </c>
      <c r="C90" s="7" t="s">
        <v>1514</v>
      </c>
      <c r="D90" s="7" t="s">
        <v>1515</v>
      </c>
      <c r="E90" s="7"/>
      <c r="F90" s="8" t="n">
        <v>0.69</v>
      </c>
      <c r="G90" s="14"/>
      <c r="H90" s="7" t="s">
        <v>71</v>
      </c>
      <c r="I90" s="7"/>
    </row>
    <row r="91" customFormat="false" ht="21.75" hidden="false" customHeight="true" outlineLevel="0" collapsed="false">
      <c r="B91" s="4" t="s">
        <v>1516</v>
      </c>
      <c r="C91" s="4" t="s">
        <v>1517</v>
      </c>
      <c r="D91" s="4" t="s">
        <v>1518</v>
      </c>
      <c r="E91" s="4" t="s">
        <v>1519</v>
      </c>
      <c r="F91" s="5" t="n">
        <v>1.87</v>
      </c>
      <c r="G91" s="13" t="n">
        <v>0</v>
      </c>
      <c r="H91" s="4" t="s">
        <v>84</v>
      </c>
      <c r="I91" s="4" t="s">
        <v>1520</v>
      </c>
    </row>
    <row r="92" customFormat="false" ht="21.75" hidden="false" customHeight="true" outlineLevel="0" collapsed="false">
      <c r="B92" s="7" t="s">
        <v>1516</v>
      </c>
      <c r="C92" s="7" t="s">
        <v>1521</v>
      </c>
      <c r="D92" s="7" t="s">
        <v>1522</v>
      </c>
      <c r="E92" s="7" t="s">
        <v>1519</v>
      </c>
      <c r="F92" s="8" t="n">
        <v>7.21</v>
      </c>
      <c r="G92" s="14" t="n">
        <v>1</v>
      </c>
      <c r="H92" s="7" t="s">
        <v>71</v>
      </c>
      <c r="I92" s="7" t="s">
        <v>1523</v>
      </c>
    </row>
    <row r="93" customFormat="false" ht="21.75" hidden="false" customHeight="true" outlineLevel="0" collapsed="false">
      <c r="B93" s="4" t="s">
        <v>1516</v>
      </c>
      <c r="C93" s="4" t="s">
        <v>1524</v>
      </c>
      <c r="D93" s="4" t="s">
        <v>1525</v>
      </c>
      <c r="E93" s="4" t="s">
        <v>1519</v>
      </c>
      <c r="F93" s="5" t="n">
        <v>5.56</v>
      </c>
      <c r="G93" s="13" t="n">
        <v>11</v>
      </c>
      <c r="H93" s="4" t="s">
        <v>71</v>
      </c>
      <c r="I93" s="4" t="s">
        <v>1526</v>
      </c>
    </row>
    <row r="94" customFormat="false" ht="21.75" hidden="false" customHeight="true" outlineLevel="0" collapsed="false">
      <c r="B94" s="7" t="s">
        <v>1516</v>
      </c>
      <c r="C94" s="7" t="s">
        <v>1527</v>
      </c>
      <c r="D94" s="7" t="s">
        <v>1528</v>
      </c>
      <c r="E94" s="7" t="s">
        <v>1519</v>
      </c>
      <c r="F94" s="8" t="n">
        <v>5.01</v>
      </c>
      <c r="G94" s="14" t="n">
        <v>7</v>
      </c>
      <c r="H94" s="7" t="s">
        <v>71</v>
      </c>
      <c r="I94" s="7" t="s">
        <v>1529</v>
      </c>
    </row>
    <row r="95" customFormat="false" ht="21.75" hidden="false" customHeight="true" outlineLevel="0" collapsed="false">
      <c r="B95" s="4" t="s">
        <v>1516</v>
      </c>
      <c r="C95" s="4" t="s">
        <v>1530</v>
      </c>
      <c r="D95" s="4" t="s">
        <v>1531</v>
      </c>
      <c r="E95" s="4" t="s">
        <v>1519</v>
      </c>
      <c r="F95" s="5" t="n">
        <v>7.61</v>
      </c>
      <c r="G95" s="13" t="n">
        <v>33</v>
      </c>
      <c r="H95" s="4" t="s">
        <v>71</v>
      </c>
      <c r="I95" s="4" t="s">
        <v>1532</v>
      </c>
    </row>
    <row r="96" customFormat="false" ht="21.75" hidden="false" customHeight="true" outlineLevel="0" collapsed="false">
      <c r="B96" s="7" t="s">
        <v>1516</v>
      </c>
      <c r="C96" s="7" t="s">
        <v>1533</v>
      </c>
      <c r="D96" s="7" t="s">
        <v>1534</v>
      </c>
      <c r="E96" s="7" t="s">
        <v>1519</v>
      </c>
      <c r="F96" s="8" t="n">
        <v>3.77</v>
      </c>
      <c r="G96" s="14" t="n">
        <v>7</v>
      </c>
      <c r="H96" s="7" t="s">
        <v>71</v>
      </c>
      <c r="I96" s="7" t="s">
        <v>1529</v>
      </c>
    </row>
    <row r="97" customFormat="false" ht="21.75" hidden="false" customHeight="true" outlineLevel="0" collapsed="false">
      <c r="B97" s="4" t="s">
        <v>1516</v>
      </c>
      <c r="C97" s="4" t="s">
        <v>1535</v>
      </c>
      <c r="D97" s="4" t="s">
        <v>1536</v>
      </c>
      <c r="E97" s="4" t="s">
        <v>1537</v>
      </c>
      <c r="F97" s="5" t="n">
        <v>12.82</v>
      </c>
      <c r="G97" s="13" t="n">
        <v>40</v>
      </c>
      <c r="H97" s="4" t="s">
        <v>71</v>
      </c>
      <c r="I97" s="4" t="s">
        <v>1538</v>
      </c>
    </row>
    <row r="98" customFormat="false" ht="21.75" hidden="false" customHeight="true" outlineLevel="0" collapsed="false">
      <c r="B98" s="7" t="s">
        <v>1516</v>
      </c>
      <c r="C98" s="7" t="s">
        <v>1539</v>
      </c>
      <c r="D98" s="7" t="s">
        <v>1540</v>
      </c>
      <c r="E98" s="7" t="s">
        <v>1519</v>
      </c>
      <c r="F98" s="8" t="n">
        <v>76.13</v>
      </c>
      <c r="G98" s="14" t="n">
        <v>0</v>
      </c>
      <c r="H98" s="7" t="s">
        <v>84</v>
      </c>
      <c r="I98" s="7" t="s">
        <v>1541</v>
      </c>
    </row>
    <row r="99" customFormat="false" ht="21.75" hidden="false" customHeight="true" outlineLevel="0" collapsed="false">
      <c r="B99" s="4" t="s">
        <v>1516</v>
      </c>
      <c r="C99" s="4" t="s">
        <v>1542</v>
      </c>
      <c r="D99" s="4" t="s">
        <v>1543</v>
      </c>
      <c r="E99" s="4" t="s">
        <v>1519</v>
      </c>
      <c r="F99" s="5" t="n">
        <v>79.94</v>
      </c>
      <c r="G99" s="13" t="n">
        <v>0</v>
      </c>
      <c r="H99" s="4" t="s">
        <v>84</v>
      </c>
      <c r="I99" s="4" t="s">
        <v>1529</v>
      </c>
    </row>
    <row r="100" customFormat="false" ht="21.75" hidden="false" customHeight="true" outlineLevel="0" collapsed="false">
      <c r="B100" s="7" t="s">
        <v>1516</v>
      </c>
      <c r="C100" s="7" t="s">
        <v>1544</v>
      </c>
      <c r="D100" s="7" t="s">
        <v>1545</v>
      </c>
      <c r="E100" s="7" t="s">
        <v>1519</v>
      </c>
      <c r="F100" s="8" t="n">
        <v>9.87</v>
      </c>
      <c r="G100" s="14" t="n">
        <v>12</v>
      </c>
      <c r="H100" s="7" t="s">
        <v>71</v>
      </c>
      <c r="I100" s="7" t="s">
        <v>1546</v>
      </c>
    </row>
    <row r="101" customFormat="false" ht="21.75" hidden="false" customHeight="true" outlineLevel="0" collapsed="false">
      <c r="B101" s="4" t="s">
        <v>1516</v>
      </c>
      <c r="C101" s="4" t="s">
        <v>1547</v>
      </c>
      <c r="D101" s="4" t="s">
        <v>1548</v>
      </c>
      <c r="E101" s="4" t="s">
        <v>1537</v>
      </c>
      <c r="F101" s="5" t="n">
        <v>17.48</v>
      </c>
      <c r="G101" s="13" t="n">
        <v>26</v>
      </c>
      <c r="H101" s="4" t="s">
        <v>71</v>
      </c>
      <c r="I101" s="4" t="s">
        <v>1549</v>
      </c>
    </row>
    <row r="102" customFormat="false" ht="21.75" hidden="false" customHeight="true" outlineLevel="0" collapsed="false">
      <c r="B102" s="7" t="s">
        <v>1516</v>
      </c>
      <c r="C102" s="7" t="s">
        <v>1550</v>
      </c>
      <c r="D102" s="7" t="s">
        <v>1551</v>
      </c>
      <c r="E102" s="7" t="s">
        <v>1519</v>
      </c>
      <c r="F102" s="8" t="n">
        <v>11.39</v>
      </c>
      <c r="G102" s="14" t="n">
        <v>16</v>
      </c>
      <c r="H102" s="7" t="s">
        <v>71</v>
      </c>
      <c r="I102" s="7" t="s">
        <v>1552</v>
      </c>
    </row>
    <row r="103" customFormat="false" ht="21.75" hidden="false" customHeight="true" outlineLevel="0" collapsed="false">
      <c r="B103" s="4" t="s">
        <v>1516</v>
      </c>
      <c r="C103" s="4" t="s">
        <v>1553</v>
      </c>
      <c r="D103" s="4" t="s">
        <v>1304</v>
      </c>
      <c r="E103" s="4" t="s">
        <v>1519</v>
      </c>
      <c r="F103" s="5" t="n">
        <v>11.48</v>
      </c>
      <c r="G103" s="13" t="n">
        <v>0</v>
      </c>
      <c r="H103" s="4" t="s">
        <v>84</v>
      </c>
      <c r="I103" s="4" t="s">
        <v>1554</v>
      </c>
    </row>
    <row r="104" customFormat="false" ht="21.75" hidden="false" customHeight="true" outlineLevel="0" collapsed="false">
      <c r="B104" s="7" t="s">
        <v>1516</v>
      </c>
      <c r="C104" s="7" t="s">
        <v>1555</v>
      </c>
      <c r="D104" s="7" t="s">
        <v>1556</v>
      </c>
      <c r="E104" s="7" t="s">
        <v>1519</v>
      </c>
      <c r="F104" s="8" t="n">
        <v>11.6</v>
      </c>
      <c r="G104" s="14" t="n">
        <v>0</v>
      </c>
      <c r="H104" s="7" t="s">
        <v>84</v>
      </c>
      <c r="I104" s="7" t="s">
        <v>1557</v>
      </c>
    </row>
    <row r="105" customFormat="false" ht="21.75" hidden="false" customHeight="true" outlineLevel="0" collapsed="false">
      <c r="B105" s="4" t="s">
        <v>1516</v>
      </c>
      <c r="C105" s="4" t="s">
        <v>1558</v>
      </c>
      <c r="D105" s="4" t="s">
        <v>1308</v>
      </c>
      <c r="E105" s="4" t="s">
        <v>1519</v>
      </c>
      <c r="F105" s="5" t="n">
        <v>11.49</v>
      </c>
      <c r="G105" s="13" t="n">
        <v>0</v>
      </c>
      <c r="H105" s="4" t="s">
        <v>84</v>
      </c>
      <c r="I105" s="4" t="s">
        <v>1559</v>
      </c>
    </row>
    <row r="106" customFormat="false" ht="21.75" hidden="false" customHeight="true" outlineLevel="0" collapsed="false">
      <c r="B106" s="7" t="s">
        <v>1516</v>
      </c>
      <c r="C106" s="7" t="s">
        <v>1560</v>
      </c>
      <c r="D106" s="7" t="s">
        <v>1561</v>
      </c>
      <c r="E106" s="7" t="s">
        <v>1519</v>
      </c>
      <c r="F106" s="8" t="n">
        <v>5.78</v>
      </c>
      <c r="G106" s="14" t="n">
        <v>15</v>
      </c>
      <c r="H106" s="7" t="s">
        <v>71</v>
      </c>
      <c r="I106" s="7" t="s">
        <v>1562</v>
      </c>
    </row>
    <row r="107" customFormat="false" ht="21.75" hidden="false" customHeight="true" outlineLevel="0" collapsed="false">
      <c r="B107" s="4" t="s">
        <v>1516</v>
      </c>
      <c r="C107" s="4" t="s">
        <v>1563</v>
      </c>
      <c r="D107" s="4" t="s">
        <v>1564</v>
      </c>
      <c r="E107" s="4" t="s">
        <v>1565</v>
      </c>
      <c r="F107" s="5" t="n">
        <v>49.47</v>
      </c>
      <c r="G107" s="13" t="n">
        <v>9</v>
      </c>
      <c r="H107" s="4" t="s">
        <v>71</v>
      </c>
      <c r="I107" s="4" t="s">
        <v>1538</v>
      </c>
    </row>
    <row r="108" customFormat="false" ht="21.75" hidden="false" customHeight="true" outlineLevel="0" collapsed="false">
      <c r="B108" s="7" t="s">
        <v>1516</v>
      </c>
      <c r="C108" s="7" t="s">
        <v>1566</v>
      </c>
      <c r="D108" s="7" t="s">
        <v>1567</v>
      </c>
      <c r="E108" s="7" t="s">
        <v>1519</v>
      </c>
      <c r="F108" s="8" t="n">
        <v>3.43</v>
      </c>
      <c r="G108" s="14" t="n">
        <v>19</v>
      </c>
      <c r="H108" s="7" t="s">
        <v>71</v>
      </c>
      <c r="I108" s="7" t="s">
        <v>1568</v>
      </c>
    </row>
    <row r="109" customFormat="false" ht="21.75" hidden="false" customHeight="true" outlineLevel="0" collapsed="false">
      <c r="B109" s="4" t="s">
        <v>1516</v>
      </c>
      <c r="C109" s="4" t="s">
        <v>1569</v>
      </c>
      <c r="D109" s="4" t="s">
        <v>1570</v>
      </c>
      <c r="E109" s="4" t="s">
        <v>1519</v>
      </c>
      <c r="F109" s="5" t="n">
        <v>3.81</v>
      </c>
      <c r="G109" s="13" t="n">
        <v>25</v>
      </c>
      <c r="H109" s="4" t="s">
        <v>71</v>
      </c>
      <c r="I109" s="4" t="s">
        <v>1571</v>
      </c>
    </row>
    <row r="110" customFormat="false" ht="21.75" hidden="false" customHeight="true" outlineLevel="0" collapsed="false">
      <c r="B110" s="7" t="s">
        <v>1516</v>
      </c>
      <c r="C110" s="7" t="s">
        <v>1572</v>
      </c>
      <c r="D110" s="7" t="s">
        <v>1573</v>
      </c>
      <c r="E110" s="7" t="s">
        <v>1519</v>
      </c>
      <c r="F110" s="8" t="n">
        <v>7.58</v>
      </c>
      <c r="G110" s="14" t="n">
        <v>15</v>
      </c>
      <c r="H110" s="7" t="s">
        <v>71</v>
      </c>
      <c r="I110" s="7" t="s">
        <v>1574</v>
      </c>
    </row>
    <row r="111" customFormat="false" ht="21.75" hidden="false" customHeight="true" outlineLevel="0" collapsed="false">
      <c r="B111" s="4" t="s">
        <v>1516</v>
      </c>
      <c r="C111" s="4" t="s">
        <v>1575</v>
      </c>
      <c r="D111" s="4" t="s">
        <v>1576</v>
      </c>
      <c r="E111" s="4" t="s">
        <v>1519</v>
      </c>
      <c r="F111" s="5" t="n">
        <v>7.58</v>
      </c>
      <c r="G111" s="13" t="n">
        <v>3</v>
      </c>
      <c r="H111" s="4" t="s">
        <v>71</v>
      </c>
      <c r="I111" s="4" t="s">
        <v>1577</v>
      </c>
    </row>
    <row r="112" customFormat="false" ht="21.75" hidden="false" customHeight="true" outlineLevel="0" collapsed="false">
      <c r="B112" s="7" t="s">
        <v>1516</v>
      </c>
      <c r="C112" s="7" t="s">
        <v>1578</v>
      </c>
      <c r="D112" s="7" t="s">
        <v>1579</v>
      </c>
      <c r="E112" s="7" t="s">
        <v>1519</v>
      </c>
      <c r="F112" s="8" t="n">
        <v>7.58</v>
      </c>
      <c r="G112" s="14" t="n">
        <v>19</v>
      </c>
      <c r="H112" s="7" t="s">
        <v>71</v>
      </c>
      <c r="I112" s="7" t="s">
        <v>1580</v>
      </c>
    </row>
    <row r="113" customFormat="false" ht="21.75" hidden="false" customHeight="true" outlineLevel="0" collapsed="false">
      <c r="B113" s="4" t="s">
        <v>1516</v>
      </c>
      <c r="C113" s="4" t="s">
        <v>1581</v>
      </c>
      <c r="D113" s="4" t="s">
        <v>310</v>
      </c>
      <c r="E113" s="4" t="s">
        <v>1519</v>
      </c>
      <c r="F113" s="5" t="n">
        <v>9.63</v>
      </c>
      <c r="G113" s="13" t="n">
        <v>956</v>
      </c>
      <c r="H113" s="4" t="s">
        <v>71</v>
      </c>
      <c r="I113" s="4" t="s">
        <v>1582</v>
      </c>
    </row>
    <row r="114" customFormat="false" ht="21.75" hidden="false" customHeight="true" outlineLevel="0" collapsed="false">
      <c r="B114" s="7" t="s">
        <v>1516</v>
      </c>
      <c r="C114" s="7" t="s">
        <v>1583</v>
      </c>
      <c r="D114" s="7" t="s">
        <v>1584</v>
      </c>
      <c r="E114" s="7" t="s">
        <v>1519</v>
      </c>
      <c r="F114" s="8" t="n">
        <v>25.08</v>
      </c>
      <c r="G114" s="14" t="n">
        <v>124</v>
      </c>
      <c r="H114" s="7" t="s">
        <v>71</v>
      </c>
      <c r="I114" s="7" t="s">
        <v>1585</v>
      </c>
    </row>
    <row r="115" customFormat="false" ht="21.75" hidden="false" customHeight="true" outlineLevel="0" collapsed="false">
      <c r="B115" s="4" t="s">
        <v>1516</v>
      </c>
      <c r="C115" s="4" t="s">
        <v>1586</v>
      </c>
      <c r="D115" s="4" t="s">
        <v>1587</v>
      </c>
      <c r="E115" s="4" t="s">
        <v>1519</v>
      </c>
      <c r="F115" s="5" t="n">
        <v>53.77</v>
      </c>
      <c r="G115" s="13" t="n">
        <v>121</v>
      </c>
      <c r="H115" s="4" t="s">
        <v>71</v>
      </c>
      <c r="I115" s="4" t="s">
        <v>1588</v>
      </c>
    </row>
    <row r="116" customFormat="false" ht="21.75" hidden="false" customHeight="true" outlineLevel="0" collapsed="false">
      <c r="B116" s="7" t="s">
        <v>1516</v>
      </c>
      <c r="C116" s="7" t="s">
        <v>1589</v>
      </c>
      <c r="D116" s="7" t="s">
        <v>1590</v>
      </c>
      <c r="E116" s="7" t="s">
        <v>1565</v>
      </c>
      <c r="F116" s="8" t="n">
        <v>49.89</v>
      </c>
      <c r="G116" s="14"/>
      <c r="H116" s="7" t="s">
        <v>84</v>
      </c>
      <c r="I116" s="7" t="s">
        <v>1591</v>
      </c>
    </row>
    <row r="117" customFormat="false" ht="21.75" hidden="false" customHeight="true" outlineLevel="0" collapsed="false">
      <c r="B117" s="4" t="s">
        <v>1516</v>
      </c>
      <c r="C117" s="4" t="s">
        <v>1592</v>
      </c>
      <c r="D117" s="4" t="s">
        <v>1593</v>
      </c>
      <c r="E117" s="4" t="s">
        <v>1519</v>
      </c>
      <c r="F117" s="5" t="n">
        <v>3.77</v>
      </c>
      <c r="G117" s="13" t="n">
        <v>4</v>
      </c>
      <c r="H117" s="4" t="s">
        <v>71</v>
      </c>
      <c r="I117" s="4" t="s">
        <v>1594</v>
      </c>
    </row>
    <row r="118" customFormat="false" ht="21.75" hidden="false" customHeight="true" outlineLevel="0" collapsed="false">
      <c r="B118" s="7" t="s">
        <v>1516</v>
      </c>
      <c r="C118" s="7" t="s">
        <v>1595</v>
      </c>
      <c r="D118" s="7" t="s">
        <v>1596</v>
      </c>
      <c r="E118" s="7" t="s">
        <v>1519</v>
      </c>
      <c r="F118" s="8" t="n">
        <v>1.85</v>
      </c>
      <c r="G118" s="14" t="n">
        <v>373</v>
      </c>
      <c r="H118" s="7" t="s">
        <v>71</v>
      </c>
      <c r="I118" s="7" t="s">
        <v>1597</v>
      </c>
    </row>
    <row r="119" customFormat="false" ht="21.75" hidden="false" customHeight="true" outlineLevel="0" collapsed="false">
      <c r="B119" s="4" t="s">
        <v>1516</v>
      </c>
      <c r="C119" s="4" t="s">
        <v>1598</v>
      </c>
      <c r="D119" s="4" t="s">
        <v>313</v>
      </c>
      <c r="E119" s="4" t="s">
        <v>1519</v>
      </c>
      <c r="F119" s="5" t="n">
        <v>4.6</v>
      </c>
      <c r="G119" s="13" t="n">
        <v>554</v>
      </c>
      <c r="H119" s="4" t="s">
        <v>71</v>
      </c>
      <c r="I119" s="4" t="s">
        <v>1599</v>
      </c>
    </row>
    <row r="120" customFormat="false" ht="21.75" hidden="false" customHeight="true" outlineLevel="0" collapsed="false">
      <c r="B120" s="7" t="s">
        <v>1516</v>
      </c>
      <c r="C120" s="7" t="s">
        <v>1600</v>
      </c>
      <c r="D120" s="7" t="s">
        <v>1601</v>
      </c>
      <c r="E120" s="7" t="s">
        <v>1519</v>
      </c>
      <c r="F120" s="8" t="n">
        <v>0.42</v>
      </c>
      <c r="G120" s="14" t="n">
        <v>18</v>
      </c>
      <c r="H120" s="7" t="s">
        <v>71</v>
      </c>
      <c r="I120" s="7" t="s">
        <v>1602</v>
      </c>
    </row>
    <row r="121" customFormat="false" ht="21.75" hidden="false" customHeight="true" outlineLevel="0" collapsed="false">
      <c r="B121" s="4" t="s">
        <v>1516</v>
      </c>
      <c r="C121" s="4" t="s">
        <v>1603</v>
      </c>
      <c r="D121" s="4" t="s">
        <v>1604</v>
      </c>
      <c r="E121" s="4" t="s">
        <v>1519</v>
      </c>
      <c r="F121" s="5" t="n">
        <v>1.85</v>
      </c>
      <c r="G121" s="13" t="n">
        <v>9</v>
      </c>
      <c r="H121" s="4" t="s">
        <v>71</v>
      </c>
      <c r="I121" s="4" t="s">
        <v>1605</v>
      </c>
    </row>
    <row r="122" customFormat="false" ht="21.75" hidden="false" customHeight="true" outlineLevel="0" collapsed="false">
      <c r="B122" s="7" t="s">
        <v>1516</v>
      </c>
      <c r="C122" s="7" t="s">
        <v>1606</v>
      </c>
      <c r="D122" s="7" t="s">
        <v>1607</v>
      </c>
      <c r="E122" s="7" t="s">
        <v>1519</v>
      </c>
      <c r="F122" s="8" t="n">
        <v>6.94</v>
      </c>
      <c r="G122" s="14" t="n">
        <v>7</v>
      </c>
      <c r="H122" s="7" t="s">
        <v>71</v>
      </c>
      <c r="I122" s="7" t="s">
        <v>1608</v>
      </c>
    </row>
    <row r="123" customFormat="false" ht="21.75" hidden="false" customHeight="true" outlineLevel="0" collapsed="false">
      <c r="B123" s="4" t="s">
        <v>1516</v>
      </c>
      <c r="C123" s="4" t="s">
        <v>1609</v>
      </c>
      <c r="D123" s="4" t="s">
        <v>1610</v>
      </c>
      <c r="E123" s="4" t="s">
        <v>1519</v>
      </c>
      <c r="F123" s="5" t="n">
        <v>10.25</v>
      </c>
      <c r="G123" s="13" t="n">
        <v>10</v>
      </c>
      <c r="H123" s="4" t="s">
        <v>71</v>
      </c>
      <c r="I123" s="4" t="s">
        <v>1611</v>
      </c>
    </row>
    <row r="124" customFormat="false" ht="21.75" hidden="false" customHeight="true" outlineLevel="0" collapsed="false">
      <c r="B124" s="7" t="s">
        <v>1516</v>
      </c>
      <c r="C124" s="7" t="s">
        <v>1612</v>
      </c>
      <c r="D124" s="7" t="s">
        <v>1613</v>
      </c>
      <c r="E124" s="7" t="s">
        <v>1519</v>
      </c>
      <c r="F124" s="8" t="n">
        <v>11.49</v>
      </c>
      <c r="G124" s="14" t="n">
        <v>2</v>
      </c>
      <c r="H124" s="7" t="s">
        <v>71</v>
      </c>
      <c r="I124" s="7" t="s">
        <v>1614</v>
      </c>
    </row>
    <row r="125" customFormat="false" ht="21.75" hidden="false" customHeight="true" outlineLevel="0" collapsed="false">
      <c r="B125" s="4" t="s">
        <v>1516</v>
      </c>
      <c r="C125" s="4" t="s">
        <v>1615</v>
      </c>
      <c r="D125" s="4" t="s">
        <v>1616</v>
      </c>
      <c r="E125" s="4" t="s">
        <v>1519</v>
      </c>
      <c r="F125" s="5" t="n">
        <v>19.17</v>
      </c>
      <c r="G125" s="13" t="n">
        <v>0</v>
      </c>
      <c r="H125" s="4" t="s">
        <v>84</v>
      </c>
      <c r="I125" s="4" t="s">
        <v>1617</v>
      </c>
    </row>
    <row r="126" customFormat="false" ht="21.75" hidden="false" customHeight="true" outlineLevel="0" collapsed="false">
      <c r="B126" s="7" t="s">
        <v>1516</v>
      </c>
      <c r="C126" s="7" t="s">
        <v>1618</v>
      </c>
      <c r="D126" s="7" t="s">
        <v>1619</v>
      </c>
      <c r="E126" s="7" t="s">
        <v>1519</v>
      </c>
      <c r="F126" s="8" t="n">
        <v>0.97</v>
      </c>
      <c r="G126" s="14" t="n">
        <v>95</v>
      </c>
      <c r="H126" s="7" t="s">
        <v>71</v>
      </c>
      <c r="I126" s="7" t="s">
        <v>1620</v>
      </c>
    </row>
    <row r="127" customFormat="false" ht="21.75" hidden="false" customHeight="true" outlineLevel="0" collapsed="false">
      <c r="B127" s="4" t="s">
        <v>1516</v>
      </c>
      <c r="C127" s="4" t="s">
        <v>1621</v>
      </c>
      <c r="D127" s="4" t="s">
        <v>1622</v>
      </c>
      <c r="E127" s="4" t="s">
        <v>1519</v>
      </c>
      <c r="F127" s="5" t="n">
        <v>1.89</v>
      </c>
      <c r="G127" s="13" t="n">
        <v>71</v>
      </c>
      <c r="H127" s="4" t="s">
        <v>71</v>
      </c>
      <c r="I127" s="4" t="s">
        <v>1623</v>
      </c>
    </row>
    <row r="128" customFormat="false" ht="21.75" hidden="false" customHeight="true" outlineLevel="0" collapsed="false">
      <c r="B128" s="7" t="s">
        <v>1516</v>
      </c>
      <c r="C128" s="7" t="s">
        <v>1624</v>
      </c>
      <c r="D128" s="7" t="s">
        <v>1625</v>
      </c>
      <c r="E128" s="7" t="s">
        <v>1519</v>
      </c>
      <c r="F128" s="8" t="n">
        <v>3.04</v>
      </c>
      <c r="G128" s="14" t="n">
        <v>46</v>
      </c>
      <c r="H128" s="7" t="s">
        <v>71</v>
      </c>
      <c r="I128" s="7" t="s">
        <v>1626</v>
      </c>
    </row>
    <row r="129" customFormat="false" ht="21.75" hidden="false" customHeight="true" outlineLevel="0" collapsed="false">
      <c r="B129" s="4" t="s">
        <v>1516</v>
      </c>
      <c r="C129" s="4" t="s">
        <v>1627</v>
      </c>
      <c r="D129" s="4" t="s">
        <v>1628</v>
      </c>
      <c r="E129" s="4" t="s">
        <v>1519</v>
      </c>
      <c r="F129" s="5" t="n">
        <v>5.35</v>
      </c>
      <c r="G129" s="13" t="n">
        <v>41</v>
      </c>
      <c r="H129" s="4" t="s">
        <v>71</v>
      </c>
      <c r="I129" s="4" t="s">
        <v>1623</v>
      </c>
    </row>
    <row r="130" customFormat="false" ht="21.75" hidden="false" customHeight="true" outlineLevel="0" collapsed="false">
      <c r="B130" s="7" t="s">
        <v>1516</v>
      </c>
      <c r="C130" s="7" t="s">
        <v>1629</v>
      </c>
      <c r="D130" s="7" t="s">
        <v>1630</v>
      </c>
      <c r="E130" s="7" t="s">
        <v>1519</v>
      </c>
      <c r="F130" s="8" t="n">
        <v>9.57</v>
      </c>
      <c r="G130" s="14" t="n">
        <v>49</v>
      </c>
      <c r="H130" s="7" t="s">
        <v>71</v>
      </c>
      <c r="I130" s="7" t="s">
        <v>1631</v>
      </c>
    </row>
    <row r="131" customFormat="false" ht="21.75" hidden="false" customHeight="true" outlineLevel="0" collapsed="false">
      <c r="B131" s="4" t="s">
        <v>1516</v>
      </c>
      <c r="C131" s="4" t="s">
        <v>1632</v>
      </c>
      <c r="D131" s="4" t="s">
        <v>1633</v>
      </c>
      <c r="E131" s="4" t="s">
        <v>1519</v>
      </c>
      <c r="F131" s="5" t="n">
        <v>13.8</v>
      </c>
      <c r="G131" s="13" t="n">
        <v>20</v>
      </c>
      <c r="H131" s="4" t="s">
        <v>71</v>
      </c>
      <c r="I131" s="4" t="s">
        <v>1634</v>
      </c>
    </row>
    <row r="132" customFormat="false" ht="21.75" hidden="false" customHeight="true" outlineLevel="0" collapsed="false">
      <c r="B132" s="7" t="s">
        <v>1516</v>
      </c>
      <c r="C132" s="7" t="s">
        <v>1635</v>
      </c>
      <c r="D132" s="7" t="s">
        <v>1636</v>
      </c>
      <c r="E132" s="7" t="s">
        <v>1519</v>
      </c>
      <c r="F132" s="8" t="n">
        <v>23.03</v>
      </c>
      <c r="G132" s="14" t="n">
        <v>19</v>
      </c>
      <c r="H132" s="7" t="s">
        <v>71</v>
      </c>
      <c r="I132" s="7" t="s">
        <v>1634</v>
      </c>
    </row>
    <row r="133" customFormat="false" ht="21.75" hidden="false" customHeight="true" outlineLevel="0" collapsed="false">
      <c r="B133" s="4" t="s">
        <v>1516</v>
      </c>
      <c r="C133" s="4" t="s">
        <v>1637</v>
      </c>
      <c r="D133" s="4" t="s">
        <v>1638</v>
      </c>
      <c r="E133" s="4" t="s">
        <v>1519</v>
      </c>
      <c r="F133" s="5" t="n">
        <v>49.93</v>
      </c>
      <c r="G133" s="13" t="n">
        <v>20</v>
      </c>
      <c r="H133" s="4" t="s">
        <v>71</v>
      </c>
      <c r="I133" s="4" t="s">
        <v>1538</v>
      </c>
    </row>
    <row r="134" customFormat="false" ht="21.75" hidden="false" customHeight="true" outlineLevel="0" collapsed="false">
      <c r="B134" s="7" t="s">
        <v>1516</v>
      </c>
      <c r="C134" s="7" t="s">
        <v>1639</v>
      </c>
      <c r="D134" s="7" t="s">
        <v>1640</v>
      </c>
      <c r="E134" s="7" t="s">
        <v>1519</v>
      </c>
      <c r="F134" s="8" t="n">
        <v>1.87</v>
      </c>
      <c r="G134" s="14" t="n">
        <v>155</v>
      </c>
      <c r="H134" s="7" t="s">
        <v>71</v>
      </c>
      <c r="I134" s="7" t="s">
        <v>1641</v>
      </c>
    </row>
    <row r="135" customFormat="false" ht="21.75" hidden="false" customHeight="true" outlineLevel="0" collapsed="false">
      <c r="B135" s="4" t="s">
        <v>1516</v>
      </c>
      <c r="C135" s="4" t="s">
        <v>1642</v>
      </c>
      <c r="D135" s="4" t="s">
        <v>1643</v>
      </c>
      <c r="E135" s="4" t="s">
        <v>1537</v>
      </c>
      <c r="F135" s="5" t="n">
        <v>0.73</v>
      </c>
      <c r="G135" s="13" t="n">
        <v>1</v>
      </c>
      <c r="H135" s="4" t="s">
        <v>71</v>
      </c>
      <c r="I135" s="4" t="s">
        <v>1644</v>
      </c>
    </row>
    <row r="136" customFormat="false" ht="21.75" hidden="false" customHeight="true" outlineLevel="0" collapsed="false">
      <c r="B136" s="7" t="s">
        <v>1516</v>
      </c>
      <c r="C136" s="7" t="s">
        <v>1645</v>
      </c>
      <c r="D136" s="7" t="s">
        <v>1646</v>
      </c>
      <c r="E136" s="7" t="s">
        <v>1537</v>
      </c>
      <c r="F136" s="8" t="n">
        <v>1.87</v>
      </c>
      <c r="G136" s="14" t="n">
        <v>16</v>
      </c>
      <c r="H136" s="7" t="s">
        <v>71</v>
      </c>
      <c r="I136" s="7" t="s">
        <v>1538</v>
      </c>
    </row>
    <row r="137" customFormat="false" ht="21.75" hidden="false" customHeight="true" outlineLevel="0" collapsed="false">
      <c r="B137" s="4" t="s">
        <v>1516</v>
      </c>
      <c r="C137" s="4" t="s">
        <v>1647</v>
      </c>
      <c r="D137" s="4" t="s">
        <v>1648</v>
      </c>
      <c r="E137" s="4" t="s">
        <v>1537</v>
      </c>
      <c r="F137" s="5" t="n">
        <v>1.49</v>
      </c>
      <c r="G137" s="13" t="n">
        <v>42</v>
      </c>
      <c r="H137" s="4" t="s">
        <v>71</v>
      </c>
      <c r="I137" s="4" t="s">
        <v>1538</v>
      </c>
    </row>
    <row r="138" customFormat="false" ht="21.75" hidden="false" customHeight="true" outlineLevel="0" collapsed="false">
      <c r="B138" s="7" t="s">
        <v>1516</v>
      </c>
      <c r="C138" s="7" t="s">
        <v>1649</v>
      </c>
      <c r="D138" s="7" t="s">
        <v>1650</v>
      </c>
      <c r="E138" s="7" t="s">
        <v>1537</v>
      </c>
      <c r="F138" s="8" t="n">
        <v>3.39</v>
      </c>
      <c r="G138" s="14" t="n">
        <v>5</v>
      </c>
      <c r="H138" s="7" t="s">
        <v>71</v>
      </c>
      <c r="I138" s="7" t="s">
        <v>1651</v>
      </c>
    </row>
    <row r="139" customFormat="false" ht="21.75" hidden="false" customHeight="true" outlineLevel="0" collapsed="false">
      <c r="B139" s="4" t="s">
        <v>1516</v>
      </c>
      <c r="C139" s="4" t="s">
        <v>1652</v>
      </c>
      <c r="D139" s="4" t="s">
        <v>1653</v>
      </c>
      <c r="E139" s="4" t="s">
        <v>1519</v>
      </c>
      <c r="F139" s="5" t="n">
        <v>1.87</v>
      </c>
      <c r="G139" s="13" t="n">
        <v>12</v>
      </c>
      <c r="H139" s="4" t="s">
        <v>71</v>
      </c>
      <c r="I139" s="4" t="s">
        <v>1605</v>
      </c>
    </row>
    <row r="140" customFormat="false" ht="21.75" hidden="false" customHeight="true" outlineLevel="0" collapsed="false">
      <c r="B140" s="7" t="s">
        <v>1516</v>
      </c>
      <c r="C140" s="7" t="s">
        <v>1654</v>
      </c>
      <c r="D140" s="7" t="s">
        <v>1655</v>
      </c>
      <c r="E140" s="7" t="s">
        <v>1519</v>
      </c>
      <c r="F140" s="8" t="n">
        <v>2.25</v>
      </c>
      <c r="G140" s="14" t="n">
        <v>3</v>
      </c>
      <c r="H140" s="7" t="s">
        <v>71</v>
      </c>
      <c r="I140" s="7" t="s">
        <v>1656</v>
      </c>
    </row>
    <row r="141" customFormat="false" ht="21.75" hidden="false" customHeight="true" outlineLevel="0" collapsed="false">
      <c r="B141" s="4" t="s">
        <v>1516</v>
      </c>
      <c r="C141" s="4" t="s">
        <v>1657</v>
      </c>
      <c r="D141" s="4" t="s">
        <v>1658</v>
      </c>
      <c r="E141" s="4" t="s">
        <v>1537</v>
      </c>
      <c r="F141" s="5" t="n">
        <v>3.77</v>
      </c>
      <c r="G141" s="13" t="n">
        <v>16</v>
      </c>
      <c r="H141" s="4" t="s">
        <v>71</v>
      </c>
      <c r="I141" s="4" t="s">
        <v>1659</v>
      </c>
    </row>
    <row r="142" customFormat="false" ht="21.75" hidden="false" customHeight="true" outlineLevel="0" collapsed="false">
      <c r="B142" s="7" t="s">
        <v>1516</v>
      </c>
      <c r="C142" s="7" t="s">
        <v>1660</v>
      </c>
      <c r="D142" s="7" t="s">
        <v>1661</v>
      </c>
      <c r="E142" s="7" t="s">
        <v>1565</v>
      </c>
      <c r="F142" s="8" t="n">
        <v>4.98</v>
      </c>
      <c r="G142" s="14" t="n">
        <v>137</v>
      </c>
      <c r="H142" s="7" t="s">
        <v>71</v>
      </c>
      <c r="I142" s="7" t="s">
        <v>1617</v>
      </c>
    </row>
    <row r="143" customFormat="false" ht="21.75" hidden="false" customHeight="true" outlineLevel="0" collapsed="false">
      <c r="B143" s="4" t="s">
        <v>1516</v>
      </c>
      <c r="C143" s="4" t="s">
        <v>1662</v>
      </c>
      <c r="D143" s="4" t="s">
        <v>1663</v>
      </c>
      <c r="E143" s="4" t="s">
        <v>1519</v>
      </c>
      <c r="F143" s="5" t="n">
        <v>2.25</v>
      </c>
      <c r="G143" s="13" t="n">
        <v>20</v>
      </c>
      <c r="H143" s="4" t="s">
        <v>71</v>
      </c>
      <c r="I143" s="4" t="s">
        <v>1664</v>
      </c>
    </row>
    <row r="144" customFormat="false" ht="21.75" hidden="false" customHeight="true" outlineLevel="0" collapsed="false">
      <c r="B144" s="7" t="s">
        <v>1516</v>
      </c>
      <c r="C144" s="7" t="s">
        <v>1665</v>
      </c>
      <c r="D144" s="7" t="s">
        <v>1666</v>
      </c>
      <c r="E144" s="7" t="s">
        <v>1519</v>
      </c>
      <c r="F144" s="8" t="n">
        <v>12.53</v>
      </c>
      <c r="G144" s="14" t="n">
        <v>0</v>
      </c>
      <c r="H144" s="7" t="s">
        <v>84</v>
      </c>
      <c r="I144" s="7" t="s">
        <v>1667</v>
      </c>
    </row>
    <row r="145" customFormat="false" ht="21.75" hidden="false" customHeight="true" outlineLevel="0" collapsed="false">
      <c r="B145" s="4" t="s">
        <v>1516</v>
      </c>
      <c r="C145" s="4" t="s">
        <v>1668</v>
      </c>
      <c r="D145" s="4" t="s">
        <v>1669</v>
      </c>
      <c r="E145" s="4" t="s">
        <v>1537</v>
      </c>
      <c r="F145" s="5" t="n">
        <v>4.92</v>
      </c>
      <c r="G145" s="13" t="n">
        <v>19</v>
      </c>
      <c r="H145" s="4" t="s">
        <v>71</v>
      </c>
      <c r="I145" s="4" t="s">
        <v>1670</v>
      </c>
    </row>
    <row r="146" customFormat="false" ht="21.75" hidden="false" customHeight="true" outlineLevel="0" collapsed="false">
      <c r="B146" s="7" t="s">
        <v>1516</v>
      </c>
      <c r="C146" s="7" t="s">
        <v>1671</v>
      </c>
      <c r="D146" s="7" t="s">
        <v>1672</v>
      </c>
      <c r="E146" s="7" t="s">
        <v>1519</v>
      </c>
      <c r="F146" s="8" t="n">
        <v>4.54</v>
      </c>
      <c r="G146" s="14" t="n">
        <v>8</v>
      </c>
      <c r="H146" s="7" t="s">
        <v>71</v>
      </c>
      <c r="I146" s="7" t="s">
        <v>1673</v>
      </c>
    </row>
    <row r="147" customFormat="false" ht="21.75" hidden="false" customHeight="true" outlineLevel="0" collapsed="false">
      <c r="B147" s="4" t="s">
        <v>1516</v>
      </c>
      <c r="C147" s="4" t="s">
        <v>1674</v>
      </c>
      <c r="D147" s="4" t="s">
        <v>1675</v>
      </c>
      <c r="E147" s="4" t="s">
        <v>1519</v>
      </c>
      <c r="F147" s="5" t="n">
        <v>3.77</v>
      </c>
      <c r="G147" s="13" t="n">
        <v>183</v>
      </c>
      <c r="H147" s="4" t="s">
        <v>71</v>
      </c>
      <c r="I147" s="4" t="s">
        <v>1676</v>
      </c>
    </row>
    <row r="148" customFormat="false" ht="21.75" hidden="false" customHeight="true" outlineLevel="0" collapsed="false">
      <c r="B148" s="7" t="s">
        <v>1516</v>
      </c>
      <c r="C148" s="7" t="s">
        <v>1677</v>
      </c>
      <c r="D148" s="7" t="s">
        <v>1678</v>
      </c>
      <c r="E148" s="7" t="s">
        <v>1519</v>
      </c>
      <c r="F148" s="8" t="n">
        <v>3.83</v>
      </c>
      <c r="G148" s="14" t="n">
        <v>6</v>
      </c>
      <c r="H148" s="7" t="s">
        <v>71</v>
      </c>
      <c r="I148" s="7" t="s">
        <v>1679</v>
      </c>
    </row>
    <row r="149" customFormat="false" ht="21.75" hidden="false" customHeight="true" outlineLevel="0" collapsed="false">
      <c r="B149" s="4" t="s">
        <v>1516</v>
      </c>
      <c r="C149" s="4" t="s">
        <v>1680</v>
      </c>
      <c r="D149" s="4" t="s">
        <v>1681</v>
      </c>
      <c r="E149" s="4" t="s">
        <v>1537</v>
      </c>
      <c r="F149" s="5" t="n">
        <v>1.11</v>
      </c>
      <c r="G149" s="13" t="n">
        <v>1</v>
      </c>
      <c r="H149" s="4" t="s">
        <v>71</v>
      </c>
      <c r="I149" s="4" t="s">
        <v>1682</v>
      </c>
    </row>
    <row r="150" customFormat="false" ht="21.75" hidden="false" customHeight="true" outlineLevel="0" collapsed="false">
      <c r="B150" s="7" t="s">
        <v>1516</v>
      </c>
      <c r="C150" s="7" t="s">
        <v>1683</v>
      </c>
      <c r="D150" s="7" t="s">
        <v>1684</v>
      </c>
      <c r="E150" s="7" t="s">
        <v>1537</v>
      </c>
      <c r="F150" s="8" t="n">
        <v>3.77</v>
      </c>
      <c r="G150" s="14" t="n">
        <v>1</v>
      </c>
      <c r="H150" s="7" t="s">
        <v>71</v>
      </c>
      <c r="I150" s="7" t="s">
        <v>1538</v>
      </c>
    </row>
    <row r="151" customFormat="false" ht="21.75" hidden="false" customHeight="true" outlineLevel="0" collapsed="false">
      <c r="B151" s="4" t="s">
        <v>1516</v>
      </c>
      <c r="C151" s="4" t="s">
        <v>1685</v>
      </c>
      <c r="D151" s="4" t="s">
        <v>1686</v>
      </c>
      <c r="E151" s="4" t="s">
        <v>1537</v>
      </c>
      <c r="F151" s="5" t="n">
        <v>6.06</v>
      </c>
      <c r="G151" s="13" t="n">
        <v>1</v>
      </c>
      <c r="H151" s="4" t="s">
        <v>71</v>
      </c>
      <c r="I151" s="4" t="s">
        <v>1538</v>
      </c>
    </row>
    <row r="152" customFormat="false" ht="21.75" hidden="false" customHeight="true" outlineLevel="0" collapsed="false">
      <c r="B152" s="7" t="s">
        <v>1516</v>
      </c>
      <c r="C152" s="7" t="s">
        <v>1687</v>
      </c>
      <c r="D152" s="7" t="s">
        <v>1688</v>
      </c>
      <c r="E152" s="7" t="s">
        <v>1537</v>
      </c>
      <c r="F152" s="8" t="n">
        <v>10.06</v>
      </c>
      <c r="G152" s="14" t="n">
        <v>1</v>
      </c>
      <c r="H152" s="7" t="s">
        <v>71</v>
      </c>
      <c r="I152" s="7" t="s">
        <v>1538</v>
      </c>
    </row>
    <row r="153" customFormat="false" ht="21.75" hidden="false" customHeight="true" outlineLevel="0" collapsed="false">
      <c r="B153" s="4" t="s">
        <v>1516</v>
      </c>
      <c r="C153" s="4" t="s">
        <v>1689</v>
      </c>
      <c r="D153" s="4" t="s">
        <v>1690</v>
      </c>
      <c r="E153" s="4" t="s">
        <v>1565</v>
      </c>
      <c r="F153" s="5" t="n">
        <v>38.73</v>
      </c>
      <c r="G153" s="13"/>
      <c r="H153" s="4" t="s">
        <v>84</v>
      </c>
      <c r="I153" s="4" t="s">
        <v>1538</v>
      </c>
    </row>
    <row r="154" customFormat="false" ht="21.75" hidden="false" customHeight="true" outlineLevel="0" collapsed="false">
      <c r="B154" s="7" t="s">
        <v>1516</v>
      </c>
      <c r="C154" s="7" t="s">
        <v>1691</v>
      </c>
      <c r="D154" s="7" t="s">
        <v>1692</v>
      </c>
      <c r="E154" s="7" t="s">
        <v>1565</v>
      </c>
      <c r="F154" s="8" t="n">
        <v>1.13</v>
      </c>
      <c r="G154" s="14"/>
      <c r="H154" s="7" t="s">
        <v>84</v>
      </c>
      <c r="I154" s="7" t="s">
        <v>1538</v>
      </c>
    </row>
    <row r="155" customFormat="false" ht="21.75" hidden="false" customHeight="true" outlineLevel="0" collapsed="false">
      <c r="B155" s="4" t="s">
        <v>1516</v>
      </c>
      <c r="C155" s="4" t="s">
        <v>1693</v>
      </c>
      <c r="D155" s="4" t="s">
        <v>1694</v>
      </c>
      <c r="E155" s="4" t="s">
        <v>1565</v>
      </c>
      <c r="F155" s="5" t="n">
        <v>7.37</v>
      </c>
      <c r="G155" s="13"/>
      <c r="H155" s="4" t="s">
        <v>84</v>
      </c>
      <c r="I155" s="4" t="s">
        <v>1538</v>
      </c>
    </row>
    <row r="156" customFormat="false" ht="21.75" hidden="false" customHeight="true" outlineLevel="0" collapsed="false">
      <c r="B156" s="7" t="s">
        <v>1516</v>
      </c>
      <c r="C156" s="7" t="s">
        <v>1695</v>
      </c>
      <c r="D156" s="7" t="s">
        <v>1696</v>
      </c>
      <c r="E156" s="7" t="s">
        <v>1519</v>
      </c>
      <c r="F156" s="8" t="n">
        <v>3.39</v>
      </c>
      <c r="G156" s="14" t="n">
        <v>0</v>
      </c>
      <c r="H156" s="7" t="s">
        <v>84</v>
      </c>
      <c r="I156" s="7" t="s">
        <v>1697</v>
      </c>
    </row>
    <row r="157" customFormat="false" ht="21.75" hidden="false" customHeight="true" outlineLevel="0" collapsed="false">
      <c r="B157" s="4" t="s">
        <v>1516</v>
      </c>
      <c r="C157" s="4" t="s">
        <v>1698</v>
      </c>
      <c r="D157" s="4" t="s">
        <v>1699</v>
      </c>
      <c r="E157" s="4" t="s">
        <v>1519</v>
      </c>
      <c r="F157" s="5" t="n">
        <v>2.25</v>
      </c>
      <c r="G157" s="13" t="n">
        <v>0</v>
      </c>
      <c r="H157" s="4" t="s">
        <v>84</v>
      </c>
      <c r="I157" s="4" t="s">
        <v>1700</v>
      </c>
    </row>
    <row r="158" customFormat="false" ht="21.75" hidden="false" customHeight="true" outlineLevel="0" collapsed="false">
      <c r="B158" s="7" t="s">
        <v>1516</v>
      </c>
      <c r="C158" s="7" t="s">
        <v>1701</v>
      </c>
      <c r="D158" s="7" t="s">
        <v>1702</v>
      </c>
      <c r="E158" s="7" t="s">
        <v>1519</v>
      </c>
      <c r="F158" s="8" t="n">
        <v>5.68</v>
      </c>
      <c r="G158" s="14" t="n">
        <v>3</v>
      </c>
      <c r="H158" s="7" t="s">
        <v>71</v>
      </c>
      <c r="I158" s="7" t="s">
        <v>1703</v>
      </c>
    </row>
    <row r="159" customFormat="false" ht="21.75" hidden="false" customHeight="true" outlineLevel="0" collapsed="false">
      <c r="B159" s="4" t="s">
        <v>1516</v>
      </c>
      <c r="C159" s="4" t="s">
        <v>1704</v>
      </c>
      <c r="D159" s="4" t="s">
        <v>1705</v>
      </c>
      <c r="E159" s="4" t="s">
        <v>1537</v>
      </c>
      <c r="F159" s="5" t="n">
        <v>1.87</v>
      </c>
      <c r="G159" s="13" t="n">
        <v>15</v>
      </c>
      <c r="H159" s="4" t="s">
        <v>71</v>
      </c>
      <c r="I159" s="4" t="s">
        <v>1538</v>
      </c>
    </row>
    <row r="160" customFormat="false" ht="21.75" hidden="false" customHeight="true" outlineLevel="0" collapsed="false">
      <c r="B160" s="7" t="s">
        <v>1516</v>
      </c>
      <c r="C160" s="7" t="s">
        <v>1706</v>
      </c>
      <c r="D160" s="7" t="s">
        <v>1707</v>
      </c>
      <c r="E160" s="7" t="s">
        <v>1519</v>
      </c>
      <c r="F160" s="8" t="n">
        <v>19.01</v>
      </c>
      <c r="G160" s="14" t="n">
        <v>2</v>
      </c>
      <c r="H160" s="7" t="s">
        <v>71</v>
      </c>
      <c r="I160" s="7" t="s">
        <v>1708</v>
      </c>
    </row>
    <row r="161" customFormat="false" ht="21.75" hidden="false" customHeight="true" outlineLevel="0" collapsed="false">
      <c r="B161" s="4" t="s">
        <v>1516</v>
      </c>
      <c r="C161" s="4" t="s">
        <v>1709</v>
      </c>
      <c r="D161" s="4" t="s">
        <v>1710</v>
      </c>
      <c r="E161" s="4" t="s">
        <v>1519</v>
      </c>
      <c r="F161" s="5" t="n">
        <v>8.73</v>
      </c>
      <c r="G161" s="13" t="n">
        <v>10</v>
      </c>
      <c r="H161" s="4" t="s">
        <v>71</v>
      </c>
      <c r="I161" s="4" t="s">
        <v>1711</v>
      </c>
    </row>
    <row r="162" customFormat="false" ht="21.75" hidden="false" customHeight="true" outlineLevel="0" collapsed="false">
      <c r="B162" s="7" t="s">
        <v>1516</v>
      </c>
      <c r="C162" s="7" t="s">
        <v>1712</v>
      </c>
      <c r="D162" s="7" t="s">
        <v>1713</v>
      </c>
      <c r="E162" s="7" t="s">
        <v>1537</v>
      </c>
      <c r="F162" s="8" t="n">
        <v>3.39</v>
      </c>
      <c r="G162" s="14" t="n">
        <v>14</v>
      </c>
      <c r="H162" s="7" t="s">
        <v>71</v>
      </c>
      <c r="I162" s="7" t="s">
        <v>1591</v>
      </c>
    </row>
    <row r="163" customFormat="false" ht="21.75" hidden="false" customHeight="true" outlineLevel="0" collapsed="false">
      <c r="B163" s="4" t="s">
        <v>1516</v>
      </c>
      <c r="C163" s="4" t="s">
        <v>1714</v>
      </c>
      <c r="D163" s="4" t="s">
        <v>1715</v>
      </c>
      <c r="E163" s="4" t="s">
        <v>1565</v>
      </c>
      <c r="F163" s="5" t="n">
        <v>19.31</v>
      </c>
      <c r="G163" s="13"/>
      <c r="H163" s="4" t="s">
        <v>84</v>
      </c>
      <c r="I163" s="4" t="s">
        <v>1538</v>
      </c>
    </row>
    <row r="164" customFormat="false" ht="21.75" hidden="false" customHeight="true" outlineLevel="0" collapsed="false">
      <c r="B164" s="7" t="s">
        <v>1516</v>
      </c>
      <c r="C164" s="7" t="s">
        <v>1716</v>
      </c>
      <c r="D164" s="7" t="s">
        <v>1717</v>
      </c>
      <c r="E164" s="7" t="s">
        <v>1519</v>
      </c>
      <c r="F164" s="8" t="n">
        <v>9.87</v>
      </c>
      <c r="G164" s="14" t="n">
        <v>10</v>
      </c>
      <c r="H164" s="7" t="s">
        <v>71</v>
      </c>
      <c r="I164" s="7" t="s">
        <v>1718</v>
      </c>
    </row>
    <row r="165" customFormat="false" ht="21.75" hidden="false" customHeight="true" outlineLevel="0" collapsed="false">
      <c r="B165" s="4" t="s">
        <v>1516</v>
      </c>
      <c r="C165" s="4" t="s">
        <v>1719</v>
      </c>
      <c r="D165" s="4" t="s">
        <v>1720</v>
      </c>
      <c r="E165" s="4" t="s">
        <v>1519</v>
      </c>
      <c r="F165" s="5" t="n">
        <v>3.85</v>
      </c>
      <c r="G165" s="13" t="n">
        <v>2</v>
      </c>
      <c r="H165" s="4" t="s">
        <v>71</v>
      </c>
      <c r="I165" s="4" t="s">
        <v>1659</v>
      </c>
    </row>
    <row r="166" customFormat="false" ht="21.75" hidden="false" customHeight="true" outlineLevel="0" collapsed="false">
      <c r="B166" s="7" t="s">
        <v>1516</v>
      </c>
      <c r="C166" s="7" t="s">
        <v>1721</v>
      </c>
      <c r="D166" s="7" t="s">
        <v>1722</v>
      </c>
      <c r="E166" s="7" t="s">
        <v>1519</v>
      </c>
      <c r="F166" s="8" t="n">
        <v>1.87</v>
      </c>
      <c r="G166" s="14" t="n">
        <v>0</v>
      </c>
      <c r="H166" s="7" t="s">
        <v>84</v>
      </c>
      <c r="I166" s="7" t="s">
        <v>1723</v>
      </c>
    </row>
    <row r="167" customFormat="false" ht="21.75" hidden="false" customHeight="true" outlineLevel="0" collapsed="false">
      <c r="B167" s="4" t="s">
        <v>1516</v>
      </c>
      <c r="C167" s="4" t="s">
        <v>1724</v>
      </c>
      <c r="D167" s="4" t="s">
        <v>1725</v>
      </c>
      <c r="E167" s="4" t="s">
        <v>1519</v>
      </c>
      <c r="F167" s="5" t="n">
        <v>3.01</v>
      </c>
      <c r="G167" s="13" t="n">
        <v>4</v>
      </c>
      <c r="H167" s="4" t="s">
        <v>71</v>
      </c>
      <c r="I167" s="4" t="s">
        <v>1726</v>
      </c>
    </row>
    <row r="168" customFormat="false" ht="21.75" hidden="false" customHeight="true" outlineLevel="0" collapsed="false">
      <c r="B168" s="7" t="s">
        <v>1516</v>
      </c>
      <c r="C168" s="7" t="s">
        <v>1727</v>
      </c>
      <c r="D168" s="7" t="s">
        <v>1728</v>
      </c>
      <c r="E168" s="7" t="s">
        <v>1519</v>
      </c>
      <c r="F168" s="8" t="n">
        <v>3.39</v>
      </c>
      <c r="G168" s="14" t="n">
        <v>4</v>
      </c>
      <c r="H168" s="7" t="s">
        <v>71</v>
      </c>
      <c r="I168" s="7" t="s">
        <v>1729</v>
      </c>
    </row>
    <row r="169" customFormat="false" ht="21.75" hidden="false" customHeight="true" outlineLevel="0" collapsed="false">
      <c r="B169" s="4" t="s">
        <v>1516</v>
      </c>
      <c r="C169" s="4" t="s">
        <v>1730</v>
      </c>
      <c r="D169" s="4" t="s">
        <v>1731</v>
      </c>
      <c r="E169" s="4" t="s">
        <v>1519</v>
      </c>
      <c r="F169" s="5" t="n">
        <v>3.77</v>
      </c>
      <c r="G169" s="13" t="n">
        <v>2</v>
      </c>
      <c r="H169" s="4" t="s">
        <v>71</v>
      </c>
      <c r="I169" s="4" t="s">
        <v>1732</v>
      </c>
    </row>
    <row r="170" customFormat="false" ht="21.75" hidden="false" customHeight="true" outlineLevel="0" collapsed="false">
      <c r="B170" s="7" t="s">
        <v>1516</v>
      </c>
      <c r="C170" s="7" t="s">
        <v>1733</v>
      </c>
      <c r="D170" s="7" t="s">
        <v>1734</v>
      </c>
      <c r="E170" s="7" t="s">
        <v>1519</v>
      </c>
      <c r="F170" s="8" t="n">
        <v>1.87</v>
      </c>
      <c r="G170" s="14" t="n">
        <v>5</v>
      </c>
      <c r="H170" s="7" t="s">
        <v>71</v>
      </c>
      <c r="I170" s="7" t="s">
        <v>1667</v>
      </c>
    </row>
    <row r="171" customFormat="false" ht="21.75" hidden="false" customHeight="true" outlineLevel="0" collapsed="false">
      <c r="B171" s="4" t="s">
        <v>1516</v>
      </c>
      <c r="C171" s="4" t="s">
        <v>1735</v>
      </c>
      <c r="D171" s="4" t="s">
        <v>1736</v>
      </c>
      <c r="E171" s="4" t="s">
        <v>1519</v>
      </c>
      <c r="F171" s="5" t="n">
        <v>2.25</v>
      </c>
      <c r="G171" s="13" t="n">
        <v>12</v>
      </c>
      <c r="H171" s="4" t="s">
        <v>71</v>
      </c>
      <c r="I171" s="4" t="s">
        <v>1737</v>
      </c>
    </row>
    <row r="172" customFormat="false" ht="21.75" hidden="false" customHeight="true" outlineLevel="0" collapsed="false">
      <c r="B172" s="7" t="s">
        <v>1516</v>
      </c>
      <c r="C172" s="7" t="s">
        <v>1738</v>
      </c>
      <c r="D172" s="7" t="s">
        <v>1739</v>
      </c>
      <c r="E172" s="7" t="s">
        <v>1519</v>
      </c>
      <c r="F172" s="8" t="n">
        <v>7.58</v>
      </c>
      <c r="G172" s="14" t="n">
        <v>6</v>
      </c>
      <c r="H172" s="7" t="s">
        <v>71</v>
      </c>
      <c r="I172" s="7" t="s">
        <v>1740</v>
      </c>
    </row>
    <row r="173" customFormat="false" ht="21.75" hidden="false" customHeight="true" outlineLevel="0" collapsed="false">
      <c r="B173" s="4" t="s">
        <v>1516</v>
      </c>
      <c r="C173" s="4" t="s">
        <v>1741</v>
      </c>
      <c r="D173" s="4" t="s">
        <v>1742</v>
      </c>
      <c r="E173" s="4" t="s">
        <v>1519</v>
      </c>
      <c r="F173" s="5" t="n">
        <v>7.58</v>
      </c>
      <c r="G173" s="13" t="n">
        <v>0</v>
      </c>
      <c r="H173" s="4" t="s">
        <v>84</v>
      </c>
      <c r="I173" s="4" t="s">
        <v>1743</v>
      </c>
    </row>
    <row r="174" customFormat="false" ht="21.75" hidden="false" customHeight="true" outlineLevel="0" collapsed="false">
      <c r="B174" s="7" t="s">
        <v>1516</v>
      </c>
      <c r="C174" s="7" t="s">
        <v>1744</v>
      </c>
      <c r="D174" s="7" t="s">
        <v>1745</v>
      </c>
      <c r="E174" s="7" t="s">
        <v>1519</v>
      </c>
      <c r="F174" s="8" t="n">
        <v>6.44</v>
      </c>
      <c r="G174" s="14" t="n">
        <v>0</v>
      </c>
      <c r="H174" s="7" t="s">
        <v>84</v>
      </c>
      <c r="I174" s="7" t="s">
        <v>1737</v>
      </c>
    </row>
    <row r="175" customFormat="false" ht="21.75" hidden="false" customHeight="true" outlineLevel="0" collapsed="false">
      <c r="B175" s="4" t="s">
        <v>1516</v>
      </c>
      <c r="C175" s="4" t="s">
        <v>1746</v>
      </c>
      <c r="D175" s="4" t="s">
        <v>1747</v>
      </c>
      <c r="E175" s="4" t="s">
        <v>1519</v>
      </c>
      <c r="F175" s="5" t="n">
        <v>6.44</v>
      </c>
      <c r="G175" s="13" t="n">
        <v>0</v>
      </c>
      <c r="H175" s="4" t="s">
        <v>84</v>
      </c>
      <c r="I175" s="4" t="s">
        <v>1748</v>
      </c>
    </row>
    <row r="176" customFormat="false" ht="21.75" hidden="false" customHeight="true" outlineLevel="0" collapsed="false">
      <c r="B176" s="7" t="s">
        <v>1516</v>
      </c>
      <c r="C176" s="7" t="s">
        <v>1749</v>
      </c>
      <c r="D176" s="7" t="s">
        <v>1750</v>
      </c>
      <c r="E176" s="7" t="s">
        <v>1519</v>
      </c>
      <c r="F176" s="8" t="n">
        <v>6.82</v>
      </c>
      <c r="G176" s="14" t="n">
        <v>0</v>
      </c>
      <c r="H176" s="7" t="s">
        <v>84</v>
      </c>
      <c r="I176" s="7" t="s">
        <v>1751</v>
      </c>
    </row>
    <row r="177" customFormat="false" ht="21.75" hidden="false" customHeight="true" outlineLevel="0" collapsed="false">
      <c r="B177" s="4" t="s">
        <v>1516</v>
      </c>
      <c r="C177" s="4" t="s">
        <v>1752</v>
      </c>
      <c r="D177" s="4" t="s">
        <v>1753</v>
      </c>
      <c r="E177" s="4" t="s">
        <v>1519</v>
      </c>
      <c r="F177" s="5" t="n">
        <v>7.2</v>
      </c>
      <c r="G177" s="13" t="n">
        <v>0</v>
      </c>
      <c r="H177" s="4" t="s">
        <v>84</v>
      </c>
      <c r="I177" s="4" t="s">
        <v>1700</v>
      </c>
    </row>
    <row r="178" customFormat="false" ht="21.75" hidden="false" customHeight="true" outlineLevel="0" collapsed="false">
      <c r="B178" s="7" t="s">
        <v>1516</v>
      </c>
      <c r="C178" s="7" t="s">
        <v>1754</v>
      </c>
      <c r="D178" s="7" t="s">
        <v>1755</v>
      </c>
      <c r="E178" s="7" t="s">
        <v>1519</v>
      </c>
      <c r="F178" s="8" t="n">
        <v>5.38</v>
      </c>
      <c r="G178" s="14" t="n">
        <v>0</v>
      </c>
      <c r="H178" s="7" t="s">
        <v>84</v>
      </c>
      <c r="I178" s="7" t="s">
        <v>1614</v>
      </c>
    </row>
    <row r="179" customFormat="false" ht="21.75" hidden="false" customHeight="true" outlineLevel="0" collapsed="false">
      <c r="B179" s="4" t="s">
        <v>1516</v>
      </c>
      <c r="C179" s="4" t="s">
        <v>1756</v>
      </c>
      <c r="D179" s="4" t="s">
        <v>1757</v>
      </c>
      <c r="E179" s="4" t="s">
        <v>1519</v>
      </c>
      <c r="F179" s="5" t="n">
        <v>26.62</v>
      </c>
      <c r="G179" s="13" t="n">
        <v>0</v>
      </c>
      <c r="H179" s="4" t="s">
        <v>84</v>
      </c>
      <c r="I179" s="4" t="s">
        <v>1758</v>
      </c>
    </row>
    <row r="180" customFormat="false" ht="21.75" hidden="false" customHeight="true" outlineLevel="0" collapsed="false">
      <c r="B180" s="7" t="s">
        <v>1516</v>
      </c>
      <c r="C180" s="7" t="s">
        <v>1759</v>
      </c>
      <c r="D180" s="7" t="s">
        <v>1760</v>
      </c>
      <c r="E180" s="7" t="s">
        <v>1519</v>
      </c>
      <c r="F180" s="8" t="n">
        <v>9.483</v>
      </c>
      <c r="G180" s="14" t="n">
        <v>0</v>
      </c>
      <c r="H180" s="7" t="s">
        <v>84</v>
      </c>
      <c r="I180" s="7" t="s">
        <v>1761</v>
      </c>
    </row>
    <row r="181" customFormat="false" ht="21.75" hidden="false" customHeight="true" outlineLevel="0" collapsed="false">
      <c r="B181" s="4" t="s">
        <v>1516</v>
      </c>
      <c r="C181" s="4" t="s">
        <v>1762</v>
      </c>
      <c r="D181" s="4" t="s">
        <v>1763</v>
      </c>
      <c r="E181" s="4" t="s">
        <v>1519</v>
      </c>
      <c r="F181" s="5" t="n">
        <v>495.05</v>
      </c>
      <c r="G181" s="13" t="n">
        <v>1</v>
      </c>
      <c r="H181" s="4" t="s">
        <v>71</v>
      </c>
      <c r="I181" s="4" t="s">
        <v>1617</v>
      </c>
    </row>
    <row r="182" customFormat="false" ht="21.75" hidden="false" customHeight="true" outlineLevel="0" collapsed="false">
      <c r="B182" s="7" t="s">
        <v>1516</v>
      </c>
      <c r="C182" s="7" t="s">
        <v>1764</v>
      </c>
      <c r="D182" s="7" t="s">
        <v>1765</v>
      </c>
      <c r="E182" s="7" t="s">
        <v>1519</v>
      </c>
      <c r="F182" s="8" t="n">
        <v>11.39</v>
      </c>
      <c r="G182" s="14" t="n">
        <v>0</v>
      </c>
      <c r="H182" s="7" t="s">
        <v>84</v>
      </c>
      <c r="I182" s="7" t="s">
        <v>1748</v>
      </c>
    </row>
    <row r="183" customFormat="false" ht="21.75" hidden="false" customHeight="true" outlineLevel="0" collapsed="false">
      <c r="B183" s="4" t="s">
        <v>1516</v>
      </c>
      <c r="C183" s="4" t="s">
        <v>1766</v>
      </c>
      <c r="D183" s="4" t="s">
        <v>1767</v>
      </c>
      <c r="E183" s="4" t="s">
        <v>1537</v>
      </c>
      <c r="F183" s="5" t="n">
        <v>12.34</v>
      </c>
      <c r="G183" s="13" t="n">
        <v>1</v>
      </c>
      <c r="H183" s="4" t="s">
        <v>71</v>
      </c>
      <c r="I183" s="4" t="s">
        <v>1591</v>
      </c>
    </row>
    <row r="184" customFormat="false" ht="21.75" hidden="false" customHeight="true" outlineLevel="0" collapsed="false">
      <c r="B184" s="7" t="s">
        <v>1516</v>
      </c>
      <c r="C184" s="7" t="s">
        <v>1768</v>
      </c>
      <c r="D184" s="7" t="s">
        <v>1769</v>
      </c>
      <c r="E184" s="7" t="s">
        <v>1537</v>
      </c>
      <c r="F184" s="8" t="n">
        <v>14.71</v>
      </c>
      <c r="G184" s="14" t="n">
        <v>1</v>
      </c>
      <c r="H184" s="7" t="s">
        <v>71</v>
      </c>
      <c r="I184" s="7" t="s">
        <v>1770</v>
      </c>
    </row>
    <row r="185" customFormat="false" ht="21.75" hidden="false" customHeight="true" outlineLevel="0" collapsed="false">
      <c r="B185" s="4" t="s">
        <v>1516</v>
      </c>
      <c r="C185" s="4" t="s">
        <v>1771</v>
      </c>
      <c r="D185" s="4" t="s">
        <v>1772</v>
      </c>
      <c r="E185" s="4" t="s">
        <v>1537</v>
      </c>
      <c r="F185" s="5" t="n">
        <v>62.03</v>
      </c>
      <c r="G185" s="13" t="n">
        <v>0</v>
      </c>
      <c r="H185" s="4" t="s">
        <v>84</v>
      </c>
      <c r="I185" s="4" t="s">
        <v>1773</v>
      </c>
    </row>
    <row r="186" customFormat="false" ht="21.75" hidden="false" customHeight="true" outlineLevel="0" collapsed="false">
      <c r="B186" s="7" t="s">
        <v>1516</v>
      </c>
      <c r="C186" s="7" t="s">
        <v>1774</v>
      </c>
      <c r="D186" s="7" t="s">
        <v>1775</v>
      </c>
      <c r="E186" s="7" t="s">
        <v>1537</v>
      </c>
      <c r="F186" s="8" t="n">
        <v>18.59</v>
      </c>
      <c r="G186" s="14" t="n">
        <v>1</v>
      </c>
      <c r="H186" s="7" t="s">
        <v>71</v>
      </c>
      <c r="I186" s="7" t="s">
        <v>1776</v>
      </c>
    </row>
    <row r="187" customFormat="false" ht="21.75" hidden="false" customHeight="true" outlineLevel="0" collapsed="false">
      <c r="B187" s="4" t="s">
        <v>1516</v>
      </c>
      <c r="C187" s="4" t="s">
        <v>1777</v>
      </c>
      <c r="D187" s="4" t="s">
        <v>1778</v>
      </c>
      <c r="E187" s="4" t="s">
        <v>1565</v>
      </c>
      <c r="F187" s="5" t="n">
        <v>92.74</v>
      </c>
      <c r="G187" s="13" t="n">
        <v>5</v>
      </c>
      <c r="H187" s="4" t="s">
        <v>71</v>
      </c>
      <c r="I187" s="4" t="s">
        <v>1538</v>
      </c>
    </row>
    <row r="188" customFormat="false" ht="21.75" hidden="false" customHeight="true" outlineLevel="0" collapsed="false">
      <c r="B188" s="7" t="s">
        <v>1516</v>
      </c>
      <c r="C188" s="7" t="s">
        <v>1779</v>
      </c>
      <c r="D188" s="7" t="s">
        <v>1780</v>
      </c>
      <c r="E188" s="7" t="s">
        <v>1537</v>
      </c>
      <c r="F188" s="8" t="n">
        <v>197.99</v>
      </c>
      <c r="G188" s="14" t="n">
        <v>1</v>
      </c>
      <c r="H188" s="7" t="s">
        <v>71</v>
      </c>
      <c r="I188" s="7" t="s">
        <v>1538</v>
      </c>
    </row>
    <row r="189" customFormat="false" ht="21.75" hidden="false" customHeight="true" outlineLevel="0" collapsed="false">
      <c r="B189" s="4" t="s">
        <v>1516</v>
      </c>
      <c r="C189" s="4" t="s">
        <v>1781</v>
      </c>
      <c r="D189" s="4" t="s">
        <v>1782</v>
      </c>
      <c r="E189" s="4" t="s">
        <v>1519</v>
      </c>
      <c r="F189" s="5" t="n">
        <v>239.88</v>
      </c>
      <c r="G189" s="13" t="n">
        <v>1</v>
      </c>
      <c r="H189" s="4" t="s">
        <v>71</v>
      </c>
      <c r="I189" s="4" t="s">
        <v>1783</v>
      </c>
    </row>
    <row r="190" customFormat="false" ht="21.75" hidden="false" customHeight="true" outlineLevel="0" collapsed="false">
      <c r="B190" s="7" t="s">
        <v>1516</v>
      </c>
      <c r="C190" s="7" t="s">
        <v>1784</v>
      </c>
      <c r="D190" s="7" t="s">
        <v>1785</v>
      </c>
      <c r="E190" s="7" t="s">
        <v>1565</v>
      </c>
      <c r="F190" s="8" t="n">
        <v>266.53</v>
      </c>
      <c r="G190" s="14" t="n">
        <v>1</v>
      </c>
      <c r="H190" s="7" t="s">
        <v>71</v>
      </c>
      <c r="I190" s="7" t="s">
        <v>1538</v>
      </c>
    </row>
    <row r="191" customFormat="false" ht="21.75" hidden="false" customHeight="true" outlineLevel="0" collapsed="false">
      <c r="B191" s="4" t="s">
        <v>1516</v>
      </c>
      <c r="C191" s="4" t="s">
        <v>1786</v>
      </c>
      <c r="D191" s="4" t="s">
        <v>1787</v>
      </c>
      <c r="E191" s="4" t="s">
        <v>1519</v>
      </c>
      <c r="F191" s="5" t="n">
        <v>57.95</v>
      </c>
      <c r="G191" s="13" t="n">
        <v>0</v>
      </c>
      <c r="H191" s="4" t="s">
        <v>84</v>
      </c>
      <c r="I191" s="4" t="s">
        <v>1634</v>
      </c>
    </row>
    <row r="192" customFormat="false" ht="21.75" hidden="false" customHeight="true" outlineLevel="0" collapsed="false">
      <c r="B192" s="7" t="s">
        <v>1516</v>
      </c>
      <c r="C192" s="7" t="s">
        <v>1788</v>
      </c>
      <c r="D192" s="7" t="s">
        <v>1789</v>
      </c>
      <c r="E192" s="7" t="s">
        <v>1537</v>
      </c>
      <c r="F192" s="8" t="n">
        <v>49.47</v>
      </c>
      <c r="G192" s="14" t="n">
        <v>1</v>
      </c>
      <c r="H192" s="7" t="s">
        <v>71</v>
      </c>
      <c r="I192" s="7" t="s">
        <v>1538</v>
      </c>
    </row>
    <row r="193" customFormat="false" ht="21.75" hidden="false" customHeight="true" outlineLevel="0" collapsed="false">
      <c r="B193" s="4" t="s">
        <v>1516</v>
      </c>
      <c r="C193" s="4" t="s">
        <v>1790</v>
      </c>
      <c r="D193" s="4" t="s">
        <v>1791</v>
      </c>
      <c r="E193" s="4" t="s">
        <v>1537</v>
      </c>
      <c r="F193" s="5" t="n">
        <v>61.81</v>
      </c>
      <c r="G193" s="13" t="n">
        <v>1</v>
      </c>
      <c r="H193" s="4" t="s">
        <v>71</v>
      </c>
      <c r="I193" s="4" t="s">
        <v>1792</v>
      </c>
    </row>
    <row r="194" customFormat="false" ht="21.75" hidden="false" customHeight="true" outlineLevel="0" collapsed="false">
      <c r="B194" s="7" t="s">
        <v>1516</v>
      </c>
      <c r="C194" s="7" t="s">
        <v>1793</v>
      </c>
      <c r="D194" s="7" t="s">
        <v>1794</v>
      </c>
      <c r="E194" s="7" t="s">
        <v>1519</v>
      </c>
      <c r="F194" s="8" t="n">
        <v>216.43</v>
      </c>
      <c r="G194" s="14" t="n">
        <v>2</v>
      </c>
      <c r="H194" s="7" t="s">
        <v>71</v>
      </c>
      <c r="I194" s="7" t="s">
        <v>1538</v>
      </c>
    </row>
    <row r="195" customFormat="false" ht="21.75" hidden="false" customHeight="true" outlineLevel="0" collapsed="false">
      <c r="B195" s="4" t="s">
        <v>1516</v>
      </c>
      <c r="C195" s="4" t="s">
        <v>1795</v>
      </c>
      <c r="D195" s="4" t="s">
        <v>1796</v>
      </c>
      <c r="E195" s="4" t="s">
        <v>1565</v>
      </c>
      <c r="F195" s="5" t="n">
        <v>418.85</v>
      </c>
      <c r="G195" s="13" t="n">
        <v>1</v>
      </c>
      <c r="H195" s="4" t="s">
        <v>71</v>
      </c>
      <c r="I195" s="4" t="s">
        <v>1538</v>
      </c>
    </row>
    <row r="196" customFormat="false" ht="21.75" hidden="false" customHeight="true" outlineLevel="0" collapsed="false">
      <c r="B196" s="7" t="s">
        <v>1516</v>
      </c>
      <c r="C196" s="7" t="s">
        <v>1797</v>
      </c>
      <c r="D196" s="7" t="s">
        <v>1798</v>
      </c>
      <c r="E196" s="7" t="s">
        <v>1537</v>
      </c>
      <c r="F196" s="8" t="n">
        <v>92.74</v>
      </c>
      <c r="G196" s="14" t="n">
        <v>5</v>
      </c>
      <c r="H196" s="7" t="s">
        <v>71</v>
      </c>
      <c r="I196" s="7" t="s">
        <v>1617</v>
      </c>
    </row>
    <row r="197" customFormat="false" ht="21.75" hidden="false" customHeight="true" outlineLevel="0" collapsed="false">
      <c r="B197" s="4" t="s">
        <v>1516</v>
      </c>
      <c r="C197" s="4" t="s">
        <v>1799</v>
      </c>
      <c r="D197" s="4" t="s">
        <v>1800</v>
      </c>
      <c r="E197" s="4" t="s">
        <v>1519</v>
      </c>
      <c r="F197" s="5" t="n">
        <v>609.26</v>
      </c>
      <c r="G197" s="13" t="n">
        <v>0</v>
      </c>
      <c r="H197" s="4" t="s">
        <v>84</v>
      </c>
      <c r="I197" s="4" t="s">
        <v>1538</v>
      </c>
    </row>
    <row r="198" customFormat="false" ht="21.75" hidden="false" customHeight="true" outlineLevel="0" collapsed="false">
      <c r="B198" s="7" t="s">
        <v>1516</v>
      </c>
      <c r="C198" s="7" t="s">
        <v>1801</v>
      </c>
      <c r="D198" s="7" t="s">
        <v>1802</v>
      </c>
      <c r="E198" s="7" t="s">
        <v>1519</v>
      </c>
      <c r="F198" s="8" t="n">
        <v>342.69</v>
      </c>
      <c r="G198" s="14" t="n">
        <v>1</v>
      </c>
      <c r="H198" s="7" t="s">
        <v>71</v>
      </c>
      <c r="I198" s="7" t="s">
        <v>1538</v>
      </c>
    </row>
    <row r="199" customFormat="false" ht="21.75" hidden="false" customHeight="true" outlineLevel="0" collapsed="false">
      <c r="B199" s="4" t="s">
        <v>1516</v>
      </c>
      <c r="C199" s="4" t="s">
        <v>1803</v>
      </c>
      <c r="D199" s="4" t="s">
        <v>1804</v>
      </c>
      <c r="E199" s="4" t="s">
        <v>1537</v>
      </c>
      <c r="F199" s="5" t="n">
        <v>266.53</v>
      </c>
      <c r="G199" s="13" t="n">
        <v>1</v>
      </c>
      <c r="H199" s="4" t="s">
        <v>71</v>
      </c>
      <c r="I199" s="4" t="s">
        <v>1538</v>
      </c>
    </row>
    <row r="200" customFormat="false" ht="21.75" hidden="false" customHeight="true" outlineLevel="0" collapsed="false">
      <c r="B200" s="7" t="s">
        <v>1516</v>
      </c>
      <c r="C200" s="7" t="s">
        <v>1805</v>
      </c>
      <c r="D200" s="7" t="s">
        <v>1806</v>
      </c>
      <c r="E200" s="7" t="s">
        <v>1537</v>
      </c>
      <c r="F200" s="8" t="n">
        <v>104.33</v>
      </c>
      <c r="G200" s="14" t="n">
        <v>4</v>
      </c>
      <c r="H200" s="7" t="s">
        <v>71</v>
      </c>
      <c r="I200" s="7" t="s">
        <v>1634</v>
      </c>
    </row>
    <row r="201" customFormat="false" ht="21.75" hidden="false" customHeight="true" outlineLevel="0" collapsed="false">
      <c r="B201" s="4" t="s">
        <v>1516</v>
      </c>
      <c r="C201" s="4" t="s">
        <v>1807</v>
      </c>
      <c r="D201" s="4" t="s">
        <v>1808</v>
      </c>
      <c r="E201" s="4" t="s">
        <v>1537</v>
      </c>
      <c r="F201" s="5" t="n">
        <v>6.14</v>
      </c>
      <c r="G201" s="13" t="n">
        <v>9</v>
      </c>
      <c r="H201" s="4" t="s">
        <v>71</v>
      </c>
      <c r="I201" s="4" t="s">
        <v>1538</v>
      </c>
    </row>
    <row r="202" customFormat="false" ht="21.75" hidden="false" customHeight="true" outlineLevel="0" collapsed="false">
      <c r="B202" s="7" t="s">
        <v>1516</v>
      </c>
      <c r="C202" s="7" t="s">
        <v>1809</v>
      </c>
      <c r="D202" s="7" t="s">
        <v>1810</v>
      </c>
      <c r="E202" s="7" t="s">
        <v>1519</v>
      </c>
      <c r="F202" s="8" t="n">
        <v>1.11</v>
      </c>
      <c r="G202" s="14" t="n">
        <v>7</v>
      </c>
      <c r="H202" s="7" t="s">
        <v>71</v>
      </c>
      <c r="I202" s="7" t="s">
        <v>1811</v>
      </c>
    </row>
    <row r="203" customFormat="false" ht="21.75" hidden="false" customHeight="true" outlineLevel="0" collapsed="false">
      <c r="B203" s="4" t="s">
        <v>1516</v>
      </c>
      <c r="C203" s="4" t="s">
        <v>1812</v>
      </c>
      <c r="D203" s="4" t="s">
        <v>1813</v>
      </c>
      <c r="E203" s="4" t="s">
        <v>1519</v>
      </c>
      <c r="F203" s="5" t="n">
        <v>1.49</v>
      </c>
      <c r="G203" s="13" t="n">
        <v>0</v>
      </c>
      <c r="H203" s="4" t="s">
        <v>84</v>
      </c>
      <c r="I203" s="4" t="s">
        <v>1814</v>
      </c>
    </row>
    <row r="204" customFormat="false" ht="21.75" hidden="false" customHeight="true" outlineLevel="0" collapsed="false">
      <c r="B204" s="7" t="s">
        <v>1516</v>
      </c>
      <c r="C204" s="7" t="s">
        <v>1815</v>
      </c>
      <c r="D204" s="7" t="s">
        <v>1816</v>
      </c>
      <c r="E204" s="7" t="s">
        <v>1519</v>
      </c>
      <c r="F204" s="8" t="n">
        <v>1.91</v>
      </c>
      <c r="G204" s="14" t="n">
        <v>44</v>
      </c>
      <c r="H204" s="7" t="s">
        <v>71</v>
      </c>
      <c r="I204" s="7" t="s">
        <v>1817</v>
      </c>
    </row>
    <row r="205" customFormat="false" ht="21.75" hidden="false" customHeight="true" outlineLevel="0" collapsed="false">
      <c r="B205" s="4" t="s">
        <v>1516</v>
      </c>
      <c r="C205" s="4" t="s">
        <v>1818</v>
      </c>
      <c r="D205" s="4" t="s">
        <v>1819</v>
      </c>
      <c r="E205" s="4" t="s">
        <v>1519</v>
      </c>
      <c r="F205" s="5" t="n">
        <v>22.51</v>
      </c>
      <c r="G205" s="13" t="n">
        <v>2</v>
      </c>
      <c r="H205" s="4" t="s">
        <v>71</v>
      </c>
      <c r="I205" s="4" t="s">
        <v>1820</v>
      </c>
    </row>
    <row r="206" customFormat="false" ht="21.75" hidden="false" customHeight="true" outlineLevel="0" collapsed="false">
      <c r="B206" s="7" t="s">
        <v>1516</v>
      </c>
      <c r="C206" s="7" t="s">
        <v>1821</v>
      </c>
      <c r="D206" s="7" t="s">
        <v>1822</v>
      </c>
      <c r="E206" s="7" t="s">
        <v>1565</v>
      </c>
      <c r="F206" s="8" t="n">
        <v>7.58</v>
      </c>
      <c r="G206" s="14" t="n">
        <v>69</v>
      </c>
      <c r="H206" s="7" t="s">
        <v>71</v>
      </c>
      <c r="I206" s="7" t="s">
        <v>1659</v>
      </c>
    </row>
    <row r="207" customFormat="false" ht="21.75" hidden="false" customHeight="true" outlineLevel="0" collapsed="false">
      <c r="B207" s="4" t="s">
        <v>1516</v>
      </c>
      <c r="C207" s="4" t="s">
        <v>1823</v>
      </c>
      <c r="D207" s="4" t="s">
        <v>1824</v>
      </c>
      <c r="E207" s="4" t="s">
        <v>1519</v>
      </c>
      <c r="F207" s="5" t="n">
        <v>1.11</v>
      </c>
      <c r="G207" s="13" t="n">
        <v>4</v>
      </c>
      <c r="H207" s="4" t="s">
        <v>71</v>
      </c>
      <c r="I207" s="4" t="s">
        <v>1825</v>
      </c>
    </row>
    <row r="208" customFormat="false" ht="21.75" hidden="false" customHeight="true" outlineLevel="0" collapsed="false">
      <c r="B208" s="7" t="s">
        <v>1516</v>
      </c>
      <c r="C208" s="7" t="s">
        <v>1826</v>
      </c>
      <c r="D208" s="7" t="s">
        <v>1827</v>
      </c>
      <c r="E208" s="7" t="s">
        <v>1519</v>
      </c>
      <c r="F208" s="8" t="n">
        <v>0.96</v>
      </c>
      <c r="G208" s="14" t="n">
        <v>5</v>
      </c>
      <c r="H208" s="7" t="s">
        <v>71</v>
      </c>
      <c r="I208" s="7" t="s">
        <v>1828</v>
      </c>
    </row>
    <row r="209" customFormat="false" ht="21.75" hidden="false" customHeight="true" outlineLevel="0" collapsed="false">
      <c r="B209" s="4" t="s">
        <v>1516</v>
      </c>
      <c r="C209" s="4" t="s">
        <v>1829</v>
      </c>
      <c r="D209" s="4" t="s">
        <v>1830</v>
      </c>
      <c r="E209" s="4" t="s">
        <v>1519</v>
      </c>
      <c r="F209" s="5" t="n">
        <v>1.11</v>
      </c>
      <c r="G209" s="13" t="n">
        <v>0</v>
      </c>
      <c r="H209" s="4" t="s">
        <v>84</v>
      </c>
      <c r="I209" s="4" t="s">
        <v>1676</v>
      </c>
    </row>
    <row r="210" customFormat="false" ht="21.75" hidden="false" customHeight="true" outlineLevel="0" collapsed="false">
      <c r="B210" s="7" t="s">
        <v>1516</v>
      </c>
      <c r="C210" s="7" t="s">
        <v>1831</v>
      </c>
      <c r="D210" s="7" t="s">
        <v>1832</v>
      </c>
      <c r="E210" s="7" t="s">
        <v>1519</v>
      </c>
      <c r="F210" s="8" t="n">
        <v>3.39</v>
      </c>
      <c r="G210" s="14" t="n">
        <v>1</v>
      </c>
      <c r="H210" s="7" t="s">
        <v>71</v>
      </c>
      <c r="I210" s="7" t="s">
        <v>1562</v>
      </c>
    </row>
    <row r="211" customFormat="false" ht="21.75" hidden="false" customHeight="true" outlineLevel="0" collapsed="false">
      <c r="B211" s="4" t="s">
        <v>1516</v>
      </c>
      <c r="C211" s="4" t="s">
        <v>1833</v>
      </c>
      <c r="D211" s="4" t="s">
        <v>1834</v>
      </c>
      <c r="E211" s="4" t="s">
        <v>1519</v>
      </c>
      <c r="F211" s="5" t="n">
        <v>3.77</v>
      </c>
      <c r="G211" s="13" t="n">
        <v>16</v>
      </c>
      <c r="H211" s="4" t="s">
        <v>71</v>
      </c>
      <c r="I211" s="4" t="s">
        <v>1835</v>
      </c>
    </row>
    <row r="212" customFormat="false" ht="21.75" hidden="false" customHeight="true" outlineLevel="0" collapsed="false">
      <c r="B212" s="7" t="s">
        <v>1516</v>
      </c>
      <c r="C212" s="7" t="s">
        <v>1836</v>
      </c>
      <c r="D212" s="7" t="s">
        <v>1837</v>
      </c>
      <c r="E212" s="7" t="s">
        <v>1519</v>
      </c>
      <c r="F212" s="8" t="n">
        <v>7.2</v>
      </c>
      <c r="G212" s="14" t="n">
        <v>3</v>
      </c>
      <c r="H212" s="7" t="s">
        <v>71</v>
      </c>
      <c r="I212" s="7" t="s">
        <v>1838</v>
      </c>
    </row>
    <row r="213" customFormat="false" ht="21.75" hidden="false" customHeight="true" outlineLevel="0" collapsed="false">
      <c r="B213" s="4" t="s">
        <v>1516</v>
      </c>
      <c r="C213" s="4" t="s">
        <v>1839</v>
      </c>
      <c r="D213" s="4" t="s">
        <v>1840</v>
      </c>
      <c r="E213" s="4" t="s">
        <v>1565</v>
      </c>
      <c r="F213" s="5" t="n">
        <v>19.77</v>
      </c>
      <c r="G213" s="13" t="n">
        <v>24</v>
      </c>
      <c r="H213" s="4" t="s">
        <v>71</v>
      </c>
      <c r="I213" s="4" t="s">
        <v>1841</v>
      </c>
    </row>
    <row r="214" customFormat="false" ht="21.75" hidden="false" customHeight="true" outlineLevel="0" collapsed="false">
      <c r="B214" s="7" t="s">
        <v>1516</v>
      </c>
      <c r="C214" s="7" t="s">
        <v>1842</v>
      </c>
      <c r="D214" s="7" t="s">
        <v>1843</v>
      </c>
      <c r="E214" s="7" t="s">
        <v>1519</v>
      </c>
      <c r="F214" s="8" t="n">
        <v>4.16</v>
      </c>
      <c r="G214" s="14" t="n">
        <v>0</v>
      </c>
      <c r="H214" s="7" t="s">
        <v>84</v>
      </c>
      <c r="I214" s="7" t="s">
        <v>1844</v>
      </c>
    </row>
    <row r="215" customFormat="false" ht="21.75" hidden="false" customHeight="true" outlineLevel="0" collapsed="false">
      <c r="B215" s="4" t="s">
        <v>1516</v>
      </c>
      <c r="C215" s="4" t="s">
        <v>1845</v>
      </c>
      <c r="D215" s="4" t="s">
        <v>1846</v>
      </c>
      <c r="E215" s="4" t="s">
        <v>1519</v>
      </c>
      <c r="F215" s="5" t="n">
        <v>3.27</v>
      </c>
      <c r="G215" s="13" t="n">
        <v>0</v>
      </c>
      <c r="H215" s="4" t="s">
        <v>84</v>
      </c>
      <c r="I215" s="4" t="s">
        <v>1541</v>
      </c>
    </row>
    <row r="216" customFormat="false" ht="21.75" hidden="false" customHeight="true" outlineLevel="0" collapsed="false">
      <c r="B216" s="7" t="s">
        <v>1516</v>
      </c>
      <c r="C216" s="7" t="s">
        <v>1847</v>
      </c>
      <c r="D216" s="7" t="s">
        <v>1848</v>
      </c>
      <c r="E216" s="7" t="s">
        <v>1519</v>
      </c>
      <c r="F216" s="8" t="n">
        <v>34.24</v>
      </c>
      <c r="G216" s="14" t="n">
        <v>9</v>
      </c>
      <c r="H216" s="7" t="s">
        <v>71</v>
      </c>
      <c r="I216" s="7" t="s">
        <v>1849</v>
      </c>
    </row>
    <row r="217" customFormat="false" ht="21.75" hidden="false" customHeight="true" outlineLevel="0" collapsed="false">
      <c r="B217" s="4" t="s">
        <v>1516</v>
      </c>
      <c r="C217" s="4" t="s">
        <v>1850</v>
      </c>
      <c r="D217" s="4" t="s">
        <v>1851</v>
      </c>
      <c r="E217" s="4" t="s">
        <v>1519</v>
      </c>
      <c r="F217" s="5" t="n">
        <v>21.67</v>
      </c>
      <c r="G217" s="13" t="n">
        <v>6</v>
      </c>
      <c r="H217" s="4" t="s">
        <v>71</v>
      </c>
      <c r="I217" s="4" t="s">
        <v>1852</v>
      </c>
    </row>
    <row r="218" customFormat="false" ht="21.75" hidden="false" customHeight="true" outlineLevel="0" collapsed="false">
      <c r="B218" s="7" t="s">
        <v>1516</v>
      </c>
      <c r="C218" s="7" t="s">
        <v>1853</v>
      </c>
      <c r="D218" s="7" t="s">
        <v>1854</v>
      </c>
      <c r="E218" s="7" t="s">
        <v>1519</v>
      </c>
      <c r="F218" s="8" t="n">
        <v>20.45</v>
      </c>
      <c r="G218" s="14" t="n">
        <v>9</v>
      </c>
      <c r="H218" s="7" t="s">
        <v>71</v>
      </c>
      <c r="I218" s="7" t="s">
        <v>1718</v>
      </c>
    </row>
    <row r="219" customFormat="false" ht="21.75" hidden="false" customHeight="true" outlineLevel="0" collapsed="false">
      <c r="B219" s="4" t="s">
        <v>1516</v>
      </c>
      <c r="C219" s="4" t="s">
        <v>1855</v>
      </c>
      <c r="D219" s="4" t="s">
        <v>1856</v>
      </c>
      <c r="E219" s="4" t="s">
        <v>1519</v>
      </c>
      <c r="F219" s="5" t="n">
        <v>1.12</v>
      </c>
      <c r="G219" s="13" t="n">
        <v>50</v>
      </c>
      <c r="H219" s="4" t="s">
        <v>71</v>
      </c>
      <c r="I219" s="4" t="s">
        <v>1538</v>
      </c>
    </row>
    <row r="220" customFormat="false" ht="21.75" hidden="false" customHeight="true" outlineLevel="0" collapsed="false">
      <c r="B220" s="7" t="s">
        <v>1516</v>
      </c>
      <c r="C220" s="7" t="s">
        <v>1857</v>
      </c>
      <c r="D220" s="7" t="s">
        <v>1858</v>
      </c>
      <c r="E220" s="7" t="s">
        <v>1519</v>
      </c>
      <c r="F220" s="8" t="n">
        <v>1.89</v>
      </c>
      <c r="G220" s="14" t="n">
        <v>49</v>
      </c>
      <c r="H220" s="7" t="s">
        <v>71</v>
      </c>
      <c r="I220" s="7" t="s">
        <v>1591</v>
      </c>
    </row>
    <row r="221" customFormat="false" ht="21.75" hidden="false" customHeight="true" outlineLevel="0" collapsed="false">
      <c r="B221" s="4" t="s">
        <v>1516</v>
      </c>
      <c r="C221" s="4" t="s">
        <v>1859</v>
      </c>
      <c r="D221" s="4" t="s">
        <v>1860</v>
      </c>
      <c r="E221" s="4" t="s">
        <v>1519</v>
      </c>
      <c r="F221" s="5" t="n">
        <v>3.04</v>
      </c>
      <c r="G221" s="13" t="n">
        <v>50</v>
      </c>
      <c r="H221" s="4" t="s">
        <v>71</v>
      </c>
      <c r="I221" s="4" t="s">
        <v>1538</v>
      </c>
    </row>
    <row r="222" customFormat="false" ht="21.75" hidden="false" customHeight="true" outlineLevel="0" collapsed="false">
      <c r="B222" s="7" t="s">
        <v>1516</v>
      </c>
      <c r="C222" s="7" t="s">
        <v>1861</v>
      </c>
      <c r="D222" s="7" t="s">
        <v>1862</v>
      </c>
      <c r="E222" s="7" t="s">
        <v>1519</v>
      </c>
      <c r="F222" s="8" t="n">
        <v>5.35</v>
      </c>
      <c r="G222" s="14" t="n">
        <v>50</v>
      </c>
      <c r="H222" s="7" t="s">
        <v>71</v>
      </c>
      <c r="I222" s="7" t="s">
        <v>1538</v>
      </c>
    </row>
    <row r="223" customFormat="false" ht="21.75" hidden="false" customHeight="true" outlineLevel="0" collapsed="false">
      <c r="B223" s="4" t="s">
        <v>1516</v>
      </c>
      <c r="C223" s="4" t="s">
        <v>1863</v>
      </c>
      <c r="D223" s="4" t="s">
        <v>1864</v>
      </c>
      <c r="E223" s="4" t="s">
        <v>1519</v>
      </c>
      <c r="F223" s="5" t="n">
        <v>34.24</v>
      </c>
      <c r="G223" s="13" t="n">
        <v>5</v>
      </c>
      <c r="H223" s="4" t="s">
        <v>71</v>
      </c>
      <c r="I223" s="4" t="s">
        <v>1770</v>
      </c>
    </row>
    <row r="224" customFormat="false" ht="21.75" hidden="false" customHeight="true" outlineLevel="0" collapsed="false">
      <c r="B224" s="7" t="s">
        <v>1516</v>
      </c>
      <c r="C224" s="7" t="s">
        <v>1865</v>
      </c>
      <c r="D224" s="7" t="s">
        <v>1866</v>
      </c>
      <c r="E224" s="7" t="s">
        <v>1519</v>
      </c>
      <c r="F224" s="8" t="n">
        <v>26.62</v>
      </c>
      <c r="G224" s="14" t="n">
        <v>0</v>
      </c>
      <c r="H224" s="7" t="s">
        <v>84</v>
      </c>
      <c r="I224" s="7" t="s">
        <v>1634</v>
      </c>
    </row>
    <row r="225" customFormat="false" ht="21.75" hidden="false" customHeight="true" outlineLevel="0" collapsed="false">
      <c r="B225" s="4" t="s">
        <v>1516</v>
      </c>
      <c r="C225" s="4" t="s">
        <v>1867</v>
      </c>
      <c r="D225" s="4" t="s">
        <v>608</v>
      </c>
      <c r="E225" s="4" t="s">
        <v>1519</v>
      </c>
      <c r="F225" s="5" t="n">
        <v>3.77</v>
      </c>
      <c r="G225" s="13" t="n">
        <v>30</v>
      </c>
      <c r="H225" s="4" t="s">
        <v>71</v>
      </c>
      <c r="I225" s="4" t="s">
        <v>1868</v>
      </c>
    </row>
    <row r="226" customFormat="false" ht="21.75" hidden="false" customHeight="true" outlineLevel="0" collapsed="false">
      <c r="B226" s="7" t="s">
        <v>1516</v>
      </c>
      <c r="C226" s="7" t="s">
        <v>1869</v>
      </c>
      <c r="D226" s="7" t="s">
        <v>612</v>
      </c>
      <c r="E226" s="7" t="s">
        <v>1519</v>
      </c>
      <c r="F226" s="8" t="n">
        <v>6.44</v>
      </c>
      <c r="G226" s="14" t="n">
        <v>4</v>
      </c>
      <c r="H226" s="7" t="s">
        <v>71</v>
      </c>
      <c r="I226" s="7" t="s">
        <v>1591</v>
      </c>
    </row>
    <row r="227" customFormat="false" ht="21.75" hidden="false" customHeight="true" outlineLevel="0" collapsed="false">
      <c r="B227" s="4" t="s">
        <v>1516</v>
      </c>
      <c r="C227" s="4" t="s">
        <v>1870</v>
      </c>
      <c r="D227" s="4" t="s">
        <v>614</v>
      </c>
      <c r="E227" s="4" t="s">
        <v>1519</v>
      </c>
      <c r="F227" s="5" t="n">
        <v>8.73</v>
      </c>
      <c r="G227" s="13" t="n">
        <v>1</v>
      </c>
      <c r="H227" s="4" t="s">
        <v>71</v>
      </c>
      <c r="I227" s="4" t="s">
        <v>1617</v>
      </c>
    </row>
    <row r="228" customFormat="false" ht="21.75" hidden="false" customHeight="true" outlineLevel="0" collapsed="false">
      <c r="B228" s="7" t="s">
        <v>1516</v>
      </c>
      <c r="C228" s="7" t="s">
        <v>1871</v>
      </c>
      <c r="D228" s="7" t="s">
        <v>1872</v>
      </c>
      <c r="E228" s="7" t="s">
        <v>1519</v>
      </c>
      <c r="F228" s="8" t="n">
        <v>4.92</v>
      </c>
      <c r="G228" s="14" t="n">
        <v>0</v>
      </c>
      <c r="H228" s="7" t="s">
        <v>84</v>
      </c>
      <c r="I228" s="7" t="s">
        <v>1770</v>
      </c>
    </row>
    <row r="229" customFormat="false" ht="21.75" hidden="false" customHeight="true" outlineLevel="0" collapsed="false">
      <c r="B229" s="4" t="s">
        <v>1516</v>
      </c>
      <c r="C229" s="4" t="s">
        <v>1873</v>
      </c>
      <c r="D229" s="4" t="s">
        <v>1874</v>
      </c>
      <c r="E229" s="4" t="s">
        <v>1519</v>
      </c>
      <c r="F229" s="5" t="n">
        <v>11.39</v>
      </c>
      <c r="G229" s="13" t="n">
        <v>0</v>
      </c>
      <c r="H229" s="4" t="s">
        <v>84</v>
      </c>
      <c r="I229" s="4" t="s">
        <v>1748</v>
      </c>
    </row>
    <row r="230" customFormat="false" ht="21.75" hidden="false" customHeight="true" outlineLevel="0" collapsed="false">
      <c r="B230" s="7" t="s">
        <v>1516</v>
      </c>
      <c r="C230" s="7" t="s">
        <v>1875</v>
      </c>
      <c r="D230" s="7" t="s">
        <v>1876</v>
      </c>
      <c r="E230" s="7" t="s">
        <v>1519</v>
      </c>
      <c r="F230" s="8" t="n">
        <v>9.87</v>
      </c>
      <c r="G230" s="14" t="n">
        <v>8</v>
      </c>
      <c r="H230" s="7" t="s">
        <v>71</v>
      </c>
      <c r="I230" s="7" t="s">
        <v>1770</v>
      </c>
    </row>
    <row r="231" customFormat="false" ht="21.75" hidden="false" customHeight="true" outlineLevel="0" collapsed="false">
      <c r="B231" s="4" t="s">
        <v>1516</v>
      </c>
      <c r="C231" s="4" t="s">
        <v>1877</v>
      </c>
      <c r="D231" s="4" t="s">
        <v>223</v>
      </c>
      <c r="E231" s="4" t="s">
        <v>1537</v>
      </c>
      <c r="F231" s="5" t="n">
        <v>10.46</v>
      </c>
      <c r="G231" s="13"/>
      <c r="H231" s="4" t="s">
        <v>84</v>
      </c>
      <c r="I231" s="4" t="s">
        <v>1591</v>
      </c>
    </row>
    <row r="232" customFormat="false" ht="21.75" hidden="false" customHeight="true" outlineLevel="0" collapsed="false">
      <c r="B232" s="7" t="s">
        <v>1516</v>
      </c>
      <c r="C232" s="7" t="s">
        <v>1878</v>
      </c>
      <c r="D232" s="7" t="s">
        <v>1879</v>
      </c>
      <c r="E232" s="7" t="s">
        <v>1565</v>
      </c>
      <c r="F232" s="8" t="n">
        <v>53.75</v>
      </c>
      <c r="G232" s="14"/>
      <c r="H232" s="7" t="s">
        <v>84</v>
      </c>
      <c r="I232" s="7" t="s">
        <v>1591</v>
      </c>
    </row>
    <row r="233" customFormat="false" ht="21.75" hidden="false" customHeight="true" outlineLevel="0" collapsed="false">
      <c r="B233" s="4" t="s">
        <v>1516</v>
      </c>
      <c r="C233" s="4" t="s">
        <v>1880</v>
      </c>
      <c r="D233" s="4" t="s">
        <v>1881</v>
      </c>
      <c r="E233" s="4" t="s">
        <v>1519</v>
      </c>
      <c r="F233" s="5" t="n">
        <v>1.11</v>
      </c>
      <c r="G233" s="13" t="n">
        <v>11</v>
      </c>
      <c r="H233" s="4" t="s">
        <v>71</v>
      </c>
      <c r="I233" s="4" t="s">
        <v>1882</v>
      </c>
    </row>
    <row r="234" customFormat="false" ht="21.75" hidden="false" customHeight="true" outlineLevel="0" collapsed="false">
      <c r="B234" s="7" t="s">
        <v>1516</v>
      </c>
      <c r="C234" s="7" t="s">
        <v>1883</v>
      </c>
      <c r="D234" s="7" t="s">
        <v>1884</v>
      </c>
      <c r="E234" s="7" t="s">
        <v>1519</v>
      </c>
      <c r="F234" s="8" t="n">
        <v>3.77</v>
      </c>
      <c r="G234" s="14" t="n">
        <v>8</v>
      </c>
      <c r="H234" s="7" t="s">
        <v>71</v>
      </c>
      <c r="I234" s="7" t="s">
        <v>1631</v>
      </c>
    </row>
    <row r="235" customFormat="false" ht="21.75" hidden="false" customHeight="true" outlineLevel="0" collapsed="false">
      <c r="B235" s="4" t="s">
        <v>1516</v>
      </c>
      <c r="C235" s="4" t="s">
        <v>1885</v>
      </c>
      <c r="D235" s="4" t="s">
        <v>1886</v>
      </c>
      <c r="E235" s="4" t="s">
        <v>1519</v>
      </c>
      <c r="F235" s="5" t="n">
        <v>9.11</v>
      </c>
      <c r="G235" s="13" t="n">
        <v>1</v>
      </c>
      <c r="H235" s="4" t="s">
        <v>71</v>
      </c>
      <c r="I235" s="4" t="s">
        <v>1748</v>
      </c>
    </row>
    <row r="236" customFormat="false" ht="21.75" hidden="false" customHeight="true" outlineLevel="0" collapsed="false">
      <c r="B236" s="7" t="s">
        <v>1516</v>
      </c>
      <c r="C236" s="7" t="s">
        <v>1887</v>
      </c>
      <c r="D236" s="7" t="s">
        <v>1888</v>
      </c>
      <c r="E236" s="7" t="s">
        <v>1519</v>
      </c>
      <c r="F236" s="8" t="n">
        <v>2.63</v>
      </c>
      <c r="G236" s="14" t="n">
        <v>3</v>
      </c>
      <c r="H236" s="7" t="s">
        <v>71</v>
      </c>
      <c r="I236" s="7" t="s">
        <v>1591</v>
      </c>
    </row>
    <row r="237" customFormat="false" ht="21.75" hidden="false" customHeight="true" outlineLevel="0" collapsed="false">
      <c r="B237" s="4" t="s">
        <v>1516</v>
      </c>
      <c r="C237" s="4" t="s">
        <v>1889</v>
      </c>
      <c r="D237" s="4" t="s">
        <v>1890</v>
      </c>
      <c r="E237" s="4" t="s">
        <v>1519</v>
      </c>
      <c r="F237" s="5" t="n">
        <v>4.92</v>
      </c>
      <c r="G237" s="13" t="n">
        <v>29</v>
      </c>
      <c r="H237" s="4" t="s">
        <v>71</v>
      </c>
      <c r="I237" s="4" t="s">
        <v>1891</v>
      </c>
    </row>
    <row r="238" customFormat="false" ht="21.75" hidden="false" customHeight="true" outlineLevel="0" collapsed="false">
      <c r="B238" s="7" t="s">
        <v>1516</v>
      </c>
      <c r="C238" s="7" t="s">
        <v>1892</v>
      </c>
      <c r="D238" s="7" t="s">
        <v>1893</v>
      </c>
      <c r="E238" s="7" t="s">
        <v>1519</v>
      </c>
      <c r="F238" s="8" t="n">
        <v>3.77</v>
      </c>
      <c r="G238" s="14" t="n">
        <v>14</v>
      </c>
      <c r="H238" s="7" t="s">
        <v>71</v>
      </c>
      <c r="I238" s="7" t="s">
        <v>1894</v>
      </c>
    </row>
    <row r="239" customFormat="false" ht="21.75" hidden="false" customHeight="true" outlineLevel="0" collapsed="false">
      <c r="B239" s="4" t="s">
        <v>1516</v>
      </c>
      <c r="C239" s="4" t="s">
        <v>1895</v>
      </c>
      <c r="D239" s="4" t="s">
        <v>1896</v>
      </c>
      <c r="E239" s="4" t="s">
        <v>1519</v>
      </c>
      <c r="F239" s="5" t="n">
        <v>2.63</v>
      </c>
      <c r="G239" s="13" t="n">
        <v>4</v>
      </c>
      <c r="H239" s="4" t="s">
        <v>71</v>
      </c>
      <c r="I239" s="4" t="s">
        <v>1617</v>
      </c>
    </row>
    <row r="240" customFormat="false" ht="21.75" hidden="false" customHeight="true" outlineLevel="0" collapsed="false">
      <c r="B240" s="7" t="s">
        <v>1516</v>
      </c>
      <c r="C240" s="7" t="s">
        <v>1897</v>
      </c>
      <c r="D240" s="7" t="s">
        <v>1898</v>
      </c>
      <c r="E240" s="7" t="s">
        <v>1519</v>
      </c>
      <c r="F240" s="8" t="n">
        <v>3.77</v>
      </c>
      <c r="G240" s="14" t="n">
        <v>4</v>
      </c>
      <c r="H240" s="7" t="s">
        <v>71</v>
      </c>
      <c r="I240" s="7" t="s">
        <v>1614</v>
      </c>
    </row>
    <row r="241" customFormat="false" ht="21.75" hidden="false" customHeight="true" outlineLevel="0" collapsed="false">
      <c r="B241" s="4" t="s">
        <v>1516</v>
      </c>
      <c r="C241" s="4" t="s">
        <v>1899</v>
      </c>
      <c r="D241" s="4" t="s">
        <v>1900</v>
      </c>
      <c r="E241" s="4" t="s">
        <v>1519</v>
      </c>
      <c r="F241" s="5" t="n">
        <v>1.87</v>
      </c>
      <c r="G241" s="13" t="n">
        <v>11</v>
      </c>
      <c r="H241" s="4" t="s">
        <v>71</v>
      </c>
      <c r="I241" s="4" t="s">
        <v>1901</v>
      </c>
    </row>
    <row r="242" customFormat="false" ht="21.75" hidden="false" customHeight="true" outlineLevel="0" collapsed="false">
      <c r="B242" s="7" t="s">
        <v>1516</v>
      </c>
      <c r="C242" s="7" t="s">
        <v>1902</v>
      </c>
      <c r="D242" s="7" t="s">
        <v>1903</v>
      </c>
      <c r="E242" s="7" t="s">
        <v>1519</v>
      </c>
      <c r="F242" s="8" t="n">
        <v>3.01</v>
      </c>
      <c r="G242" s="14" t="n">
        <v>335</v>
      </c>
      <c r="H242" s="7" t="s">
        <v>71</v>
      </c>
      <c r="I242" s="7" t="s">
        <v>1904</v>
      </c>
    </row>
    <row r="243" customFormat="false" ht="21.75" hidden="false" customHeight="true" outlineLevel="0" collapsed="false">
      <c r="B243" s="4" t="s">
        <v>1516</v>
      </c>
      <c r="C243" s="4" t="s">
        <v>1905</v>
      </c>
      <c r="D243" s="4" t="s">
        <v>1906</v>
      </c>
      <c r="E243" s="4" t="s">
        <v>1519</v>
      </c>
      <c r="F243" s="5" t="n">
        <v>3.77</v>
      </c>
      <c r="G243" s="13" t="n">
        <v>0</v>
      </c>
      <c r="H243" s="4" t="s">
        <v>84</v>
      </c>
      <c r="I243" s="4" t="s">
        <v>1907</v>
      </c>
    </row>
    <row r="244" customFormat="false" ht="21.75" hidden="false" customHeight="true" outlineLevel="0" collapsed="false">
      <c r="B244" s="7" t="s">
        <v>1516</v>
      </c>
      <c r="C244" s="7" t="s">
        <v>1908</v>
      </c>
      <c r="D244" s="7" t="s">
        <v>1909</v>
      </c>
      <c r="E244" s="7" t="s">
        <v>1565</v>
      </c>
      <c r="F244" s="8" t="n">
        <v>3.77</v>
      </c>
      <c r="G244" s="14" t="n">
        <v>226</v>
      </c>
      <c r="H244" s="7" t="s">
        <v>71</v>
      </c>
      <c r="I244" s="7" t="s">
        <v>1538</v>
      </c>
    </row>
    <row r="245" customFormat="false" ht="21.75" hidden="false" customHeight="true" outlineLevel="0" collapsed="false">
      <c r="B245" s="4" t="s">
        <v>1516</v>
      </c>
      <c r="C245" s="4" t="s">
        <v>1910</v>
      </c>
      <c r="D245" s="4" t="s">
        <v>1911</v>
      </c>
      <c r="E245" s="4" t="s">
        <v>1565</v>
      </c>
      <c r="F245" s="5" t="n">
        <v>1.91</v>
      </c>
      <c r="G245" s="13"/>
      <c r="H245" s="4" t="s">
        <v>84</v>
      </c>
      <c r="I245" s="4" t="s">
        <v>1538</v>
      </c>
    </row>
    <row r="246" customFormat="false" ht="21.75" hidden="false" customHeight="true" outlineLevel="0" collapsed="false">
      <c r="B246" s="7" t="s">
        <v>1516</v>
      </c>
      <c r="C246" s="7" t="s">
        <v>1912</v>
      </c>
      <c r="D246" s="7" t="s">
        <v>1913</v>
      </c>
      <c r="E246" s="7" t="s">
        <v>1519</v>
      </c>
      <c r="F246" s="8" t="n">
        <v>6.06</v>
      </c>
      <c r="G246" s="14" t="n">
        <v>165</v>
      </c>
      <c r="H246" s="7" t="s">
        <v>71</v>
      </c>
      <c r="I246" s="7" t="s">
        <v>1841</v>
      </c>
    </row>
    <row r="247" customFormat="false" ht="21.75" hidden="false" customHeight="true" outlineLevel="0" collapsed="false">
      <c r="B247" s="4" t="s">
        <v>1516</v>
      </c>
      <c r="C247" s="4" t="s">
        <v>1914</v>
      </c>
      <c r="D247" s="4" t="s">
        <v>1915</v>
      </c>
      <c r="E247" s="4" t="s">
        <v>1565</v>
      </c>
      <c r="F247" s="5" t="n">
        <v>3.85</v>
      </c>
      <c r="G247" s="13"/>
      <c r="H247" s="4" t="s">
        <v>84</v>
      </c>
      <c r="I247" s="4" t="s">
        <v>1538</v>
      </c>
    </row>
    <row r="248" customFormat="false" ht="21.75" hidden="false" customHeight="true" outlineLevel="0" collapsed="false">
      <c r="B248" s="7" t="s">
        <v>1516</v>
      </c>
      <c r="C248" s="7" t="s">
        <v>1916</v>
      </c>
      <c r="D248" s="7" t="s">
        <v>1917</v>
      </c>
      <c r="E248" s="7" t="s">
        <v>1519</v>
      </c>
      <c r="F248" s="8" t="n">
        <v>8</v>
      </c>
      <c r="G248" s="14" t="n">
        <v>51</v>
      </c>
      <c r="H248" s="7" t="s">
        <v>71</v>
      </c>
      <c r="I248" s="7" t="s">
        <v>1894</v>
      </c>
    </row>
    <row r="249" customFormat="false" ht="21.75" hidden="false" customHeight="true" outlineLevel="0" collapsed="false">
      <c r="B249" s="4" t="s">
        <v>1516</v>
      </c>
      <c r="C249" s="4" t="s">
        <v>1918</v>
      </c>
      <c r="D249" s="4" t="s">
        <v>1919</v>
      </c>
      <c r="E249" s="4" t="s">
        <v>1519</v>
      </c>
      <c r="F249" s="5" t="n">
        <v>380.81</v>
      </c>
      <c r="G249" s="13" t="n">
        <v>26</v>
      </c>
      <c r="H249" s="4" t="s">
        <v>71</v>
      </c>
      <c r="I249" s="4" t="s">
        <v>1529</v>
      </c>
    </row>
    <row r="250" customFormat="false" ht="21.75" hidden="false" customHeight="true" outlineLevel="0" collapsed="false">
      <c r="B250" s="7" t="s">
        <v>1516</v>
      </c>
      <c r="C250" s="7" t="s">
        <v>1920</v>
      </c>
      <c r="D250" s="7" t="s">
        <v>1921</v>
      </c>
      <c r="E250" s="7" t="s">
        <v>1565</v>
      </c>
      <c r="F250" s="8" t="n">
        <v>13.2</v>
      </c>
      <c r="G250" s="14"/>
      <c r="H250" s="7" t="s">
        <v>84</v>
      </c>
      <c r="I250" s="7" t="s">
        <v>1538</v>
      </c>
    </row>
    <row r="251" customFormat="false" ht="21.75" hidden="false" customHeight="true" outlineLevel="0" collapsed="false">
      <c r="B251" s="4" t="s">
        <v>1516</v>
      </c>
      <c r="C251" s="4" t="s">
        <v>1922</v>
      </c>
      <c r="D251" s="4" t="s">
        <v>1923</v>
      </c>
      <c r="E251" s="4" t="s">
        <v>1565</v>
      </c>
      <c r="F251" s="5" t="n">
        <v>18.25</v>
      </c>
      <c r="G251" s="13"/>
      <c r="H251" s="4" t="s">
        <v>84</v>
      </c>
      <c r="I251" s="4" t="s">
        <v>1538</v>
      </c>
    </row>
    <row r="252" customFormat="false" ht="21.75" hidden="false" customHeight="true" outlineLevel="0" collapsed="false">
      <c r="B252" s="7" t="s">
        <v>1516</v>
      </c>
      <c r="C252" s="7" t="s">
        <v>1924</v>
      </c>
      <c r="D252" s="7" t="s">
        <v>1925</v>
      </c>
      <c r="E252" s="7" t="s">
        <v>1565</v>
      </c>
      <c r="F252" s="8" t="n">
        <v>31.06</v>
      </c>
      <c r="G252" s="14"/>
      <c r="H252" s="7" t="s">
        <v>84</v>
      </c>
      <c r="I252" s="7" t="s">
        <v>1538</v>
      </c>
    </row>
    <row r="253" customFormat="false" ht="21.75" hidden="false" customHeight="true" outlineLevel="0" collapsed="false">
      <c r="B253" s="4" t="s">
        <v>1516</v>
      </c>
      <c r="C253" s="4" t="s">
        <v>1926</v>
      </c>
      <c r="D253" s="4" t="s">
        <v>1927</v>
      </c>
      <c r="E253" s="4" t="s">
        <v>1565</v>
      </c>
      <c r="F253" s="5" t="n">
        <v>1.95</v>
      </c>
      <c r="G253" s="13"/>
      <c r="H253" s="4" t="s">
        <v>84</v>
      </c>
      <c r="I253" s="4" t="s">
        <v>1538</v>
      </c>
    </row>
    <row r="254" customFormat="false" ht="21.75" hidden="false" customHeight="true" outlineLevel="0" collapsed="false">
      <c r="B254" s="7" t="s">
        <v>1516</v>
      </c>
      <c r="C254" s="7" t="s">
        <v>1928</v>
      </c>
      <c r="D254" s="7" t="s">
        <v>1929</v>
      </c>
      <c r="E254" s="7" t="s">
        <v>1565</v>
      </c>
      <c r="F254" s="8" t="n">
        <v>18.62</v>
      </c>
      <c r="G254" s="14"/>
      <c r="H254" s="7" t="s">
        <v>84</v>
      </c>
      <c r="I254" s="7" t="s">
        <v>1538</v>
      </c>
    </row>
    <row r="255" customFormat="false" ht="21.75" hidden="false" customHeight="true" outlineLevel="0" collapsed="false">
      <c r="B255" s="4" t="s">
        <v>1516</v>
      </c>
      <c r="C255" s="4" t="s">
        <v>1930</v>
      </c>
      <c r="D255" s="4" t="s">
        <v>1931</v>
      </c>
      <c r="E255" s="4" t="s">
        <v>1565</v>
      </c>
      <c r="F255" s="5" t="n">
        <v>3.11</v>
      </c>
      <c r="G255" s="13"/>
      <c r="H255" s="4" t="s">
        <v>84</v>
      </c>
      <c r="I255" s="4" t="s">
        <v>1538</v>
      </c>
    </row>
    <row r="256" customFormat="false" ht="21.75" hidden="false" customHeight="true" outlineLevel="0" collapsed="false">
      <c r="B256" s="7" t="s">
        <v>1516</v>
      </c>
      <c r="C256" s="7" t="s">
        <v>1932</v>
      </c>
      <c r="D256" s="7" t="s">
        <v>1933</v>
      </c>
      <c r="E256" s="7" t="s">
        <v>1565</v>
      </c>
      <c r="F256" s="8" t="n">
        <v>23.23</v>
      </c>
      <c r="G256" s="14"/>
      <c r="H256" s="7" t="s">
        <v>84</v>
      </c>
      <c r="I256" s="7" t="s">
        <v>1538</v>
      </c>
    </row>
    <row r="257" customFormat="false" ht="21.75" hidden="false" customHeight="true" outlineLevel="0" collapsed="false">
      <c r="B257" s="4" t="s">
        <v>1516</v>
      </c>
      <c r="C257" s="4" t="s">
        <v>1934</v>
      </c>
      <c r="D257" s="4" t="s">
        <v>1935</v>
      </c>
      <c r="E257" s="4" t="s">
        <v>1519</v>
      </c>
      <c r="F257" s="5" t="n">
        <v>2.29</v>
      </c>
      <c r="G257" s="13" t="n">
        <v>14</v>
      </c>
      <c r="H257" s="4" t="s">
        <v>71</v>
      </c>
      <c r="I257" s="4" t="s">
        <v>1936</v>
      </c>
    </row>
    <row r="258" customFormat="false" ht="21.75" hidden="false" customHeight="true" outlineLevel="0" collapsed="false">
      <c r="B258" s="7" t="s">
        <v>1516</v>
      </c>
      <c r="C258" s="7" t="s">
        <v>1937</v>
      </c>
      <c r="D258" s="7" t="s">
        <v>1938</v>
      </c>
      <c r="E258" s="7" t="s">
        <v>1519</v>
      </c>
      <c r="F258" s="8" t="n">
        <v>3.45</v>
      </c>
      <c r="G258" s="14" t="n">
        <v>89</v>
      </c>
      <c r="H258" s="7" t="s">
        <v>71</v>
      </c>
      <c r="I258" s="7" t="s">
        <v>1939</v>
      </c>
    </row>
    <row r="259" customFormat="false" ht="21.75" hidden="false" customHeight="true" outlineLevel="0" collapsed="false">
      <c r="B259" s="4" t="s">
        <v>1516</v>
      </c>
      <c r="C259" s="4" t="s">
        <v>1940</v>
      </c>
      <c r="D259" s="4" t="s">
        <v>1941</v>
      </c>
      <c r="E259" s="4" t="s">
        <v>1519</v>
      </c>
      <c r="F259" s="5" t="n">
        <v>5.79</v>
      </c>
      <c r="G259" s="13" t="n">
        <v>1315</v>
      </c>
      <c r="H259" s="4" t="s">
        <v>71</v>
      </c>
      <c r="I259" s="4" t="s">
        <v>1770</v>
      </c>
    </row>
    <row r="260" customFormat="false" ht="21.75" hidden="false" customHeight="true" outlineLevel="0" collapsed="false">
      <c r="B260" s="7" t="s">
        <v>1516</v>
      </c>
      <c r="C260" s="7" t="s">
        <v>1942</v>
      </c>
      <c r="D260" s="7" t="s">
        <v>1943</v>
      </c>
      <c r="E260" s="7" t="s">
        <v>1565</v>
      </c>
      <c r="F260" s="8" t="n">
        <v>38.67</v>
      </c>
      <c r="G260" s="14"/>
      <c r="H260" s="7" t="s">
        <v>84</v>
      </c>
      <c r="I260" s="7" t="s">
        <v>1538</v>
      </c>
    </row>
    <row r="261" customFormat="false" ht="21.75" hidden="false" customHeight="true" outlineLevel="0" collapsed="false">
      <c r="B261" s="4" t="s">
        <v>1516</v>
      </c>
      <c r="C261" s="4" t="s">
        <v>1944</v>
      </c>
      <c r="D261" s="4" t="s">
        <v>1945</v>
      </c>
      <c r="E261" s="4" t="s">
        <v>1519</v>
      </c>
      <c r="F261" s="5" t="n">
        <v>4.63</v>
      </c>
      <c r="G261" s="13" t="n">
        <v>1</v>
      </c>
      <c r="H261" s="4" t="s">
        <v>71</v>
      </c>
      <c r="I261" s="4" t="s">
        <v>1634</v>
      </c>
    </row>
    <row r="262" customFormat="false" ht="21.75" hidden="false" customHeight="true" outlineLevel="0" collapsed="false">
      <c r="B262" s="7" t="s">
        <v>1516</v>
      </c>
      <c r="C262" s="7" t="s">
        <v>1946</v>
      </c>
      <c r="D262" s="7" t="s">
        <v>1947</v>
      </c>
      <c r="E262" s="7" t="s">
        <v>1519</v>
      </c>
      <c r="F262" s="8" t="n">
        <v>6.94</v>
      </c>
      <c r="G262" s="14" t="n">
        <v>4</v>
      </c>
      <c r="H262" s="7" t="s">
        <v>71</v>
      </c>
      <c r="I262" s="7" t="s">
        <v>1614</v>
      </c>
    </row>
    <row r="263" customFormat="false" ht="21.75" hidden="false" customHeight="true" outlineLevel="0" collapsed="false">
      <c r="B263" s="4" t="s">
        <v>1516</v>
      </c>
      <c r="C263" s="4" t="s">
        <v>1948</v>
      </c>
      <c r="D263" s="4" t="s">
        <v>1949</v>
      </c>
      <c r="E263" s="4" t="s">
        <v>1519</v>
      </c>
      <c r="F263" s="5" t="n">
        <v>10.04</v>
      </c>
      <c r="G263" s="13" t="n">
        <v>4</v>
      </c>
      <c r="H263" s="4" t="s">
        <v>71</v>
      </c>
      <c r="I263" s="4" t="s">
        <v>1538</v>
      </c>
    </row>
    <row r="264" customFormat="false" ht="21.75" hidden="false" customHeight="true" outlineLevel="0" collapsed="false">
      <c r="B264" s="7" t="s">
        <v>1516</v>
      </c>
      <c r="C264" s="7" t="s">
        <v>1950</v>
      </c>
      <c r="D264" s="7" t="s">
        <v>1951</v>
      </c>
      <c r="E264" s="7" t="s">
        <v>1519</v>
      </c>
      <c r="F264" s="8" t="n">
        <v>12.91</v>
      </c>
      <c r="G264" s="14" t="n">
        <v>3</v>
      </c>
      <c r="H264" s="7" t="s">
        <v>71</v>
      </c>
      <c r="I264" s="7" t="s">
        <v>1770</v>
      </c>
    </row>
    <row r="265" customFormat="false" ht="21.75" hidden="false" customHeight="true" outlineLevel="0" collapsed="false">
      <c r="B265" s="4" t="s">
        <v>1516</v>
      </c>
      <c r="C265" s="4" t="s">
        <v>1952</v>
      </c>
      <c r="D265" s="4" t="s">
        <v>1953</v>
      </c>
      <c r="E265" s="4" t="s">
        <v>1519</v>
      </c>
      <c r="F265" s="5" t="n">
        <v>11.5</v>
      </c>
      <c r="G265" s="13" t="n">
        <v>0</v>
      </c>
      <c r="H265" s="4" t="s">
        <v>84</v>
      </c>
      <c r="I265" s="4" t="s">
        <v>1617</v>
      </c>
    </row>
    <row r="266" customFormat="false" ht="21.75" hidden="false" customHeight="true" outlineLevel="0" collapsed="false">
      <c r="B266" s="7" t="s">
        <v>1516</v>
      </c>
      <c r="C266" s="7" t="s">
        <v>1954</v>
      </c>
      <c r="D266" s="7" t="s">
        <v>1955</v>
      </c>
      <c r="E266" s="7" t="s">
        <v>1519</v>
      </c>
      <c r="F266" s="8" t="n">
        <v>1.35</v>
      </c>
      <c r="G266" s="14" t="n">
        <v>60</v>
      </c>
      <c r="H266" s="7" t="s">
        <v>71</v>
      </c>
      <c r="I266" s="7" t="s">
        <v>1956</v>
      </c>
    </row>
    <row r="267" customFormat="false" ht="21.75" hidden="false" customHeight="true" outlineLevel="0" collapsed="false">
      <c r="B267" s="4" t="s">
        <v>1516</v>
      </c>
      <c r="C267" s="4" t="s">
        <v>1957</v>
      </c>
      <c r="D267" s="4" t="s">
        <v>1958</v>
      </c>
      <c r="E267" s="4" t="s">
        <v>1519</v>
      </c>
      <c r="F267" s="5" t="n">
        <v>2.27</v>
      </c>
      <c r="G267" s="13" t="n">
        <v>27</v>
      </c>
      <c r="H267" s="4" t="s">
        <v>71</v>
      </c>
      <c r="I267" s="4" t="s">
        <v>1659</v>
      </c>
    </row>
    <row r="268" customFormat="false" ht="21.75" hidden="false" customHeight="true" outlineLevel="0" collapsed="false">
      <c r="B268" s="7" t="s">
        <v>1516</v>
      </c>
      <c r="C268" s="7" t="s">
        <v>1959</v>
      </c>
      <c r="D268" s="7" t="s">
        <v>1960</v>
      </c>
      <c r="E268" s="7" t="s">
        <v>1519</v>
      </c>
      <c r="F268" s="8" t="n">
        <v>3.43</v>
      </c>
      <c r="G268" s="14" t="n">
        <v>69</v>
      </c>
      <c r="H268" s="7" t="s">
        <v>71</v>
      </c>
      <c r="I268" s="7" t="s">
        <v>1670</v>
      </c>
    </row>
    <row r="269" customFormat="false" ht="21.75" hidden="false" customHeight="true" outlineLevel="0" collapsed="false">
      <c r="B269" s="4" t="s">
        <v>1516</v>
      </c>
      <c r="C269" s="4" t="s">
        <v>1961</v>
      </c>
      <c r="D269" s="4" t="s">
        <v>1962</v>
      </c>
      <c r="E269" s="4" t="s">
        <v>1519</v>
      </c>
      <c r="F269" s="5" t="n">
        <v>6.12</v>
      </c>
      <c r="G269" s="13" t="n">
        <v>65</v>
      </c>
      <c r="H269" s="4" t="s">
        <v>71</v>
      </c>
      <c r="I269" s="4" t="s">
        <v>1841</v>
      </c>
    </row>
    <row r="270" customFormat="false" ht="21.75" hidden="false" customHeight="true" outlineLevel="0" collapsed="false">
      <c r="B270" s="7" t="s">
        <v>1516</v>
      </c>
      <c r="C270" s="7" t="s">
        <v>1963</v>
      </c>
      <c r="D270" s="7" t="s">
        <v>1964</v>
      </c>
      <c r="E270" s="7" t="s">
        <v>1519</v>
      </c>
      <c r="F270" s="8" t="n">
        <v>9.96</v>
      </c>
      <c r="G270" s="14" t="n">
        <v>31</v>
      </c>
      <c r="H270" s="7" t="s">
        <v>71</v>
      </c>
      <c r="I270" s="7" t="s">
        <v>1538</v>
      </c>
    </row>
    <row r="271" customFormat="false" ht="21.75" hidden="false" customHeight="true" outlineLevel="0" collapsed="false">
      <c r="B271" s="4" t="s">
        <v>1516</v>
      </c>
      <c r="C271" s="4" t="s">
        <v>1965</v>
      </c>
      <c r="D271" s="4" t="s">
        <v>1966</v>
      </c>
      <c r="E271" s="4" t="s">
        <v>1519</v>
      </c>
      <c r="F271" s="5" t="n">
        <v>15.34</v>
      </c>
      <c r="G271" s="13" t="n">
        <v>30</v>
      </c>
      <c r="H271" s="4" t="s">
        <v>71</v>
      </c>
      <c r="I271" s="4" t="s">
        <v>1538</v>
      </c>
    </row>
    <row r="272" customFormat="false" ht="21.75" hidden="false" customHeight="true" outlineLevel="0" collapsed="false">
      <c r="B272" s="7" t="s">
        <v>1516</v>
      </c>
      <c r="C272" s="7" t="s">
        <v>1967</v>
      </c>
      <c r="D272" s="7" t="s">
        <v>1968</v>
      </c>
      <c r="E272" s="7" t="s">
        <v>1519</v>
      </c>
      <c r="F272" s="8" t="n">
        <v>26.87</v>
      </c>
      <c r="G272" s="14" t="n">
        <v>30</v>
      </c>
      <c r="H272" s="7" t="s">
        <v>71</v>
      </c>
      <c r="I272" s="7" t="s">
        <v>1591</v>
      </c>
    </row>
    <row r="273" customFormat="false" ht="21.75" hidden="false" customHeight="true" outlineLevel="0" collapsed="false">
      <c r="B273" s="4" t="s">
        <v>1516</v>
      </c>
      <c r="C273" s="4" t="s">
        <v>1969</v>
      </c>
      <c r="D273" s="4" t="s">
        <v>1970</v>
      </c>
      <c r="E273" s="4" t="s">
        <v>1519</v>
      </c>
      <c r="F273" s="5" t="n">
        <v>49.93</v>
      </c>
      <c r="G273" s="13" t="n">
        <v>20</v>
      </c>
      <c r="H273" s="4" t="s">
        <v>71</v>
      </c>
      <c r="I273" s="4" t="s">
        <v>1538</v>
      </c>
    </row>
    <row r="274" customFormat="false" ht="21.75" hidden="false" customHeight="true" outlineLevel="0" collapsed="false">
      <c r="B274" s="7" t="s">
        <v>1516</v>
      </c>
      <c r="C274" s="7" t="s">
        <v>1971</v>
      </c>
      <c r="D274" s="7" t="s">
        <v>1972</v>
      </c>
      <c r="E274" s="7" t="s">
        <v>1519</v>
      </c>
      <c r="F274" s="8" t="n">
        <v>22.82</v>
      </c>
      <c r="G274" s="14" t="n">
        <v>3</v>
      </c>
      <c r="H274" s="7" t="s">
        <v>71</v>
      </c>
      <c r="I274" s="7" t="s">
        <v>1591</v>
      </c>
    </row>
    <row r="275" customFormat="false" ht="21.75" hidden="false" customHeight="true" outlineLevel="0" collapsed="false">
      <c r="B275" s="4" t="s">
        <v>1516</v>
      </c>
      <c r="C275" s="4" t="s">
        <v>1973</v>
      </c>
      <c r="D275" s="4" t="s">
        <v>1974</v>
      </c>
      <c r="E275" s="4" t="s">
        <v>1519</v>
      </c>
      <c r="F275" s="5" t="n">
        <v>3.39</v>
      </c>
      <c r="G275" s="13" t="n">
        <v>2</v>
      </c>
      <c r="H275" s="4" t="s">
        <v>71</v>
      </c>
      <c r="I275" s="4" t="s">
        <v>1975</v>
      </c>
    </row>
    <row r="276" customFormat="false" ht="21.75" hidden="false" customHeight="true" outlineLevel="0" collapsed="false">
      <c r="B276" s="7" t="s">
        <v>1516</v>
      </c>
      <c r="C276" s="7" t="s">
        <v>1976</v>
      </c>
      <c r="D276" s="7" t="s">
        <v>1977</v>
      </c>
      <c r="E276" s="7" t="s">
        <v>1519</v>
      </c>
      <c r="F276" s="8" t="n">
        <v>5.34</v>
      </c>
      <c r="G276" s="14" t="n">
        <v>7</v>
      </c>
      <c r="H276" s="7" t="s">
        <v>71</v>
      </c>
      <c r="I276" s="7" t="s">
        <v>1591</v>
      </c>
    </row>
    <row r="277" customFormat="false" ht="21.75" hidden="false" customHeight="true" outlineLevel="0" collapsed="false">
      <c r="B277" s="4" t="s">
        <v>1516</v>
      </c>
      <c r="C277" s="4" t="s">
        <v>1978</v>
      </c>
      <c r="D277" s="4" t="s">
        <v>1979</v>
      </c>
      <c r="E277" s="4" t="s">
        <v>1519</v>
      </c>
      <c r="F277" s="5" t="n">
        <v>10.63</v>
      </c>
      <c r="G277" s="13" t="n">
        <v>15</v>
      </c>
      <c r="H277" s="4" t="s">
        <v>71</v>
      </c>
      <c r="I277" s="4" t="s">
        <v>1617</v>
      </c>
    </row>
    <row r="278" customFormat="false" ht="21.75" hidden="false" customHeight="true" outlineLevel="0" collapsed="false">
      <c r="B278" s="7" t="s">
        <v>1516</v>
      </c>
      <c r="C278" s="7" t="s">
        <v>1980</v>
      </c>
      <c r="D278" s="7" t="s">
        <v>1981</v>
      </c>
      <c r="E278" s="7" t="s">
        <v>1519</v>
      </c>
      <c r="F278" s="8" t="n">
        <v>12.53</v>
      </c>
      <c r="G278" s="14" t="n">
        <v>35</v>
      </c>
      <c r="H278" s="7" t="s">
        <v>71</v>
      </c>
      <c r="I278" s="7" t="s">
        <v>1982</v>
      </c>
    </row>
    <row r="279" customFormat="false" ht="21.75" hidden="false" customHeight="true" outlineLevel="0" collapsed="false">
      <c r="B279" s="4" t="s">
        <v>1516</v>
      </c>
      <c r="C279" s="4" t="s">
        <v>1983</v>
      </c>
      <c r="D279" s="4" t="s">
        <v>1984</v>
      </c>
      <c r="E279" s="4" t="s">
        <v>1519</v>
      </c>
      <c r="F279" s="5" t="n">
        <v>11.39</v>
      </c>
      <c r="G279" s="13" t="n">
        <v>9</v>
      </c>
      <c r="H279" s="4" t="s">
        <v>71</v>
      </c>
      <c r="I279" s="4" t="s">
        <v>1737</v>
      </c>
    </row>
    <row r="280" customFormat="false" ht="21.75" hidden="false" customHeight="true" outlineLevel="0" collapsed="false">
      <c r="B280" s="7" t="s">
        <v>1516</v>
      </c>
      <c r="C280" s="7" t="s">
        <v>1985</v>
      </c>
      <c r="D280" s="7" t="s">
        <v>1986</v>
      </c>
      <c r="E280" s="7" t="s">
        <v>1519</v>
      </c>
      <c r="F280" s="8" t="n">
        <v>1.49</v>
      </c>
      <c r="G280" s="14" t="n">
        <v>0</v>
      </c>
      <c r="H280" s="7" t="s">
        <v>84</v>
      </c>
      <c r="I280" s="7" t="s">
        <v>1987</v>
      </c>
    </row>
    <row r="281" customFormat="false" ht="21.75" hidden="false" customHeight="true" outlineLevel="0" collapsed="false">
      <c r="B281" s="4" t="s">
        <v>1516</v>
      </c>
      <c r="C281" s="4" t="s">
        <v>1988</v>
      </c>
      <c r="D281" s="4" t="s">
        <v>1989</v>
      </c>
      <c r="E281" s="4" t="s">
        <v>1519</v>
      </c>
      <c r="F281" s="5" t="n">
        <v>1.11</v>
      </c>
      <c r="G281" s="13" t="n">
        <v>6</v>
      </c>
      <c r="H281" s="4" t="s">
        <v>71</v>
      </c>
      <c r="I281" s="4" t="s">
        <v>1990</v>
      </c>
    </row>
    <row r="282" customFormat="false" ht="21.75" hidden="false" customHeight="true" outlineLevel="0" collapsed="false">
      <c r="B282" s="7" t="s">
        <v>1516</v>
      </c>
      <c r="C282" s="7" t="s">
        <v>1991</v>
      </c>
      <c r="D282" s="7" t="s">
        <v>1992</v>
      </c>
      <c r="E282" s="7" t="s">
        <v>1519</v>
      </c>
      <c r="F282" s="8" t="n">
        <v>1.11</v>
      </c>
      <c r="G282" s="14" t="n">
        <v>1</v>
      </c>
      <c r="H282" s="7" t="s">
        <v>71</v>
      </c>
      <c r="I282" s="7" t="s">
        <v>1993</v>
      </c>
    </row>
    <row r="283" customFormat="false" ht="21.75" hidden="false" customHeight="true" outlineLevel="0" collapsed="false">
      <c r="B283" s="4" t="s">
        <v>1516</v>
      </c>
      <c r="C283" s="4" t="s">
        <v>1994</v>
      </c>
      <c r="D283" s="4" t="s">
        <v>1995</v>
      </c>
      <c r="E283" s="4" t="s">
        <v>1519</v>
      </c>
      <c r="F283" s="5" t="n">
        <v>3.77</v>
      </c>
      <c r="G283" s="13" t="n">
        <v>9</v>
      </c>
      <c r="H283" s="4" t="s">
        <v>71</v>
      </c>
      <c r="I283" s="4" t="s">
        <v>1591</v>
      </c>
    </row>
    <row r="284" customFormat="false" ht="21.75" hidden="false" customHeight="true" outlineLevel="0" collapsed="false">
      <c r="B284" s="7" t="s">
        <v>1516</v>
      </c>
      <c r="C284" s="7" t="s">
        <v>1996</v>
      </c>
      <c r="D284" s="7" t="s">
        <v>1997</v>
      </c>
      <c r="E284" s="7" t="s">
        <v>1565</v>
      </c>
      <c r="F284" s="8" t="n">
        <v>2.25</v>
      </c>
      <c r="G284" s="14" t="n">
        <v>342</v>
      </c>
      <c r="H284" s="7" t="s">
        <v>71</v>
      </c>
      <c r="I284" s="7" t="s">
        <v>1634</v>
      </c>
    </row>
    <row r="285" customFormat="false" ht="21.75" hidden="false" customHeight="true" outlineLevel="0" collapsed="false">
      <c r="B285" s="4" t="s">
        <v>1516</v>
      </c>
      <c r="C285" s="4" t="s">
        <v>1998</v>
      </c>
      <c r="D285" s="4" t="s">
        <v>1999</v>
      </c>
      <c r="E285" s="4" t="s">
        <v>1519</v>
      </c>
      <c r="F285" s="5" t="n">
        <v>19.32</v>
      </c>
      <c r="G285" s="13" t="n">
        <v>4</v>
      </c>
      <c r="H285" s="4" t="s">
        <v>71</v>
      </c>
      <c r="I285" s="4" t="s">
        <v>1591</v>
      </c>
    </row>
    <row r="286" customFormat="false" ht="21.75" hidden="false" customHeight="true" outlineLevel="0" collapsed="false">
      <c r="B286" s="7" t="s">
        <v>1516</v>
      </c>
      <c r="C286" s="7" t="s">
        <v>2000</v>
      </c>
      <c r="D286" s="7" t="s">
        <v>2001</v>
      </c>
      <c r="E286" s="7" t="s">
        <v>1565</v>
      </c>
      <c r="F286" s="8" t="n">
        <v>3.77</v>
      </c>
      <c r="G286" s="14" t="n">
        <v>209</v>
      </c>
      <c r="H286" s="7" t="s">
        <v>71</v>
      </c>
      <c r="I286" s="7" t="s">
        <v>1591</v>
      </c>
    </row>
    <row r="287" customFormat="false" ht="21.75" hidden="false" customHeight="true" outlineLevel="0" collapsed="false">
      <c r="B287" s="4" t="s">
        <v>1516</v>
      </c>
      <c r="C287" s="4" t="s">
        <v>2002</v>
      </c>
      <c r="D287" s="4" t="s">
        <v>2003</v>
      </c>
      <c r="E287" s="4" t="s">
        <v>1519</v>
      </c>
      <c r="F287" s="5" t="n">
        <v>2.25</v>
      </c>
      <c r="G287" s="13" t="n">
        <v>161</v>
      </c>
      <c r="H287" s="4" t="s">
        <v>71</v>
      </c>
      <c r="I287" s="4" t="s">
        <v>2004</v>
      </c>
    </row>
    <row r="288" customFormat="false" ht="21.75" hidden="false" customHeight="true" outlineLevel="0" collapsed="false">
      <c r="B288" s="7" t="s">
        <v>1516</v>
      </c>
      <c r="C288" s="7" t="s">
        <v>2005</v>
      </c>
      <c r="D288" s="7" t="s">
        <v>2006</v>
      </c>
      <c r="E288" s="7" t="s">
        <v>1565</v>
      </c>
      <c r="F288" s="8" t="n">
        <v>6.06</v>
      </c>
      <c r="G288" s="14" t="n">
        <v>104</v>
      </c>
      <c r="H288" s="7" t="s">
        <v>71</v>
      </c>
      <c r="I288" s="7" t="s">
        <v>1659</v>
      </c>
    </row>
    <row r="289" customFormat="false" ht="21.75" hidden="false" customHeight="true" outlineLevel="0" collapsed="false">
      <c r="B289" s="4" t="s">
        <v>1516</v>
      </c>
      <c r="C289" s="4" t="s">
        <v>2007</v>
      </c>
      <c r="D289" s="4" t="s">
        <v>2008</v>
      </c>
      <c r="E289" s="4" t="s">
        <v>1519</v>
      </c>
      <c r="F289" s="5" t="n">
        <v>1.87</v>
      </c>
      <c r="G289" s="13" t="n">
        <v>20</v>
      </c>
      <c r="H289" s="4" t="s">
        <v>71</v>
      </c>
      <c r="I289" s="4" t="s">
        <v>2009</v>
      </c>
    </row>
    <row r="290" customFormat="false" ht="21.75" hidden="false" customHeight="true" outlineLevel="0" collapsed="false">
      <c r="B290" s="7" t="s">
        <v>1516</v>
      </c>
      <c r="C290" s="7" t="s">
        <v>2010</v>
      </c>
      <c r="D290" s="7" t="s">
        <v>2011</v>
      </c>
      <c r="E290" s="7" t="s">
        <v>1519</v>
      </c>
      <c r="F290" s="8" t="n">
        <v>0.73</v>
      </c>
      <c r="G290" s="14" t="n">
        <v>12</v>
      </c>
      <c r="H290" s="7" t="s">
        <v>71</v>
      </c>
      <c r="I290" s="7" t="s">
        <v>2012</v>
      </c>
    </row>
    <row r="291" customFormat="false" ht="21.75" hidden="false" customHeight="true" outlineLevel="0" collapsed="false">
      <c r="B291" s="4" t="s">
        <v>1516</v>
      </c>
      <c r="C291" s="4" t="s">
        <v>2013</v>
      </c>
      <c r="D291" s="4" t="s">
        <v>2014</v>
      </c>
      <c r="E291" s="4" t="s">
        <v>1519</v>
      </c>
      <c r="F291" s="5" t="n">
        <v>16.34</v>
      </c>
      <c r="G291" s="13" t="n">
        <v>29</v>
      </c>
      <c r="H291" s="4" t="s">
        <v>71</v>
      </c>
      <c r="I291" s="4" t="s">
        <v>1591</v>
      </c>
    </row>
    <row r="292" customFormat="false" ht="21.75" hidden="false" customHeight="true" outlineLevel="0" collapsed="false">
      <c r="B292" s="7" t="s">
        <v>1516</v>
      </c>
      <c r="C292" s="7" t="s">
        <v>2015</v>
      </c>
      <c r="D292" s="7" t="s">
        <v>2016</v>
      </c>
      <c r="E292" s="7" t="s">
        <v>1565</v>
      </c>
      <c r="F292" s="8" t="n">
        <v>38.49</v>
      </c>
      <c r="G292" s="14"/>
      <c r="H292" s="7" t="s">
        <v>84</v>
      </c>
      <c r="I292" s="7" t="s">
        <v>1538</v>
      </c>
    </row>
    <row r="293" customFormat="false" ht="21.75" hidden="false" customHeight="true" outlineLevel="0" collapsed="false">
      <c r="B293" s="4" t="s">
        <v>1516</v>
      </c>
      <c r="C293" s="4" t="s">
        <v>2017</v>
      </c>
      <c r="D293" s="4" t="s">
        <v>2018</v>
      </c>
      <c r="E293" s="4" t="s">
        <v>1519</v>
      </c>
      <c r="F293" s="5" t="n">
        <v>1.49</v>
      </c>
      <c r="G293" s="13" t="n">
        <v>4</v>
      </c>
      <c r="H293" s="4" t="s">
        <v>71</v>
      </c>
      <c r="I293" s="4" t="s">
        <v>2019</v>
      </c>
    </row>
    <row r="294" customFormat="false" ht="21.75" hidden="false" customHeight="true" outlineLevel="0" collapsed="false">
      <c r="B294" s="7" t="s">
        <v>1516</v>
      </c>
      <c r="C294" s="7" t="s">
        <v>2020</v>
      </c>
      <c r="D294" s="7" t="s">
        <v>2021</v>
      </c>
      <c r="E294" s="7" t="s">
        <v>1519</v>
      </c>
      <c r="F294" s="8" t="n">
        <v>3.77</v>
      </c>
      <c r="G294" s="14" t="n">
        <v>3</v>
      </c>
      <c r="H294" s="7" t="s">
        <v>71</v>
      </c>
      <c r="I294" s="7" t="s">
        <v>2022</v>
      </c>
    </row>
    <row r="295" customFormat="false" ht="21.75" hidden="false" customHeight="true" outlineLevel="0" collapsed="false">
      <c r="B295" s="4" t="s">
        <v>1516</v>
      </c>
      <c r="C295" s="4" t="s">
        <v>2023</v>
      </c>
      <c r="D295" s="4" t="s">
        <v>2024</v>
      </c>
      <c r="E295" s="4" t="s">
        <v>1519</v>
      </c>
      <c r="F295" s="5" t="n">
        <v>4.92</v>
      </c>
      <c r="G295" s="13" t="n">
        <v>0</v>
      </c>
      <c r="H295" s="4" t="s">
        <v>84</v>
      </c>
      <c r="I295" s="4" t="s">
        <v>1626</v>
      </c>
    </row>
    <row r="296" customFormat="false" ht="21.75" hidden="false" customHeight="true" outlineLevel="0" collapsed="false">
      <c r="B296" s="7" t="s">
        <v>1516</v>
      </c>
      <c r="C296" s="7" t="s">
        <v>2025</v>
      </c>
      <c r="D296" s="7" t="s">
        <v>2026</v>
      </c>
      <c r="E296" s="7" t="s">
        <v>1565</v>
      </c>
      <c r="F296" s="8" t="n">
        <v>19.01</v>
      </c>
      <c r="G296" s="14" t="n">
        <v>26</v>
      </c>
      <c r="H296" s="7" t="s">
        <v>71</v>
      </c>
      <c r="I296" s="7" t="s">
        <v>1538</v>
      </c>
    </row>
    <row r="297" customFormat="false" ht="21.75" hidden="false" customHeight="true" outlineLevel="0" collapsed="false">
      <c r="B297" s="4" t="s">
        <v>1516</v>
      </c>
      <c r="C297" s="4" t="s">
        <v>2027</v>
      </c>
      <c r="D297" s="4" t="s">
        <v>2028</v>
      </c>
      <c r="E297" s="4" t="s">
        <v>1565</v>
      </c>
      <c r="F297" s="5" t="n">
        <v>19.01</v>
      </c>
      <c r="G297" s="13" t="n">
        <v>26</v>
      </c>
      <c r="H297" s="4" t="s">
        <v>71</v>
      </c>
      <c r="I297" s="4" t="s">
        <v>1538</v>
      </c>
    </row>
    <row r="298" customFormat="false" ht="21.75" hidden="false" customHeight="true" outlineLevel="0" collapsed="false">
      <c r="B298" s="7" t="s">
        <v>1516</v>
      </c>
      <c r="C298" s="7" t="s">
        <v>2029</v>
      </c>
      <c r="D298" s="7" t="s">
        <v>2030</v>
      </c>
      <c r="E298" s="7" t="s">
        <v>1565</v>
      </c>
      <c r="F298" s="8" t="n">
        <v>1.37</v>
      </c>
      <c r="G298" s="14"/>
      <c r="H298" s="7" t="s">
        <v>84</v>
      </c>
      <c r="I298" s="7" t="s">
        <v>1538</v>
      </c>
    </row>
    <row r="299" customFormat="false" ht="21.75" hidden="false" customHeight="true" outlineLevel="0" collapsed="false">
      <c r="B299" s="4" t="s">
        <v>1516</v>
      </c>
      <c r="C299" s="4" t="s">
        <v>2031</v>
      </c>
      <c r="D299" s="4" t="s">
        <v>2032</v>
      </c>
      <c r="E299" s="4" t="s">
        <v>1565</v>
      </c>
      <c r="F299" s="5" t="n">
        <v>14.75</v>
      </c>
      <c r="G299" s="13"/>
      <c r="H299" s="4" t="s">
        <v>84</v>
      </c>
      <c r="I299" s="4" t="s">
        <v>1538</v>
      </c>
    </row>
    <row r="300" customFormat="false" ht="21.75" hidden="false" customHeight="true" outlineLevel="0" collapsed="false">
      <c r="B300" s="7" t="s">
        <v>1516</v>
      </c>
      <c r="C300" s="7" t="s">
        <v>2033</v>
      </c>
      <c r="D300" s="7" t="s">
        <v>2034</v>
      </c>
      <c r="E300" s="7" t="s">
        <v>1519</v>
      </c>
      <c r="F300" s="8" t="n">
        <v>27.01</v>
      </c>
      <c r="G300" s="14" t="n">
        <v>17</v>
      </c>
      <c r="H300" s="7" t="s">
        <v>71</v>
      </c>
      <c r="I300" s="7" t="s">
        <v>1659</v>
      </c>
    </row>
    <row r="301" customFormat="false" ht="21.75" hidden="false" customHeight="true" outlineLevel="0" collapsed="false">
      <c r="B301" s="4" t="s">
        <v>1516</v>
      </c>
      <c r="C301" s="4" t="s">
        <v>2035</v>
      </c>
      <c r="D301" s="4" t="s">
        <v>2036</v>
      </c>
      <c r="E301" s="4" t="s">
        <v>1565</v>
      </c>
      <c r="F301" s="5" t="n">
        <v>19.01</v>
      </c>
      <c r="G301" s="13" t="n">
        <v>26</v>
      </c>
      <c r="H301" s="4" t="s">
        <v>71</v>
      </c>
      <c r="I301" s="4" t="s">
        <v>1538</v>
      </c>
    </row>
    <row r="302" customFormat="false" ht="21.75" hidden="false" customHeight="true" outlineLevel="0" collapsed="false">
      <c r="B302" s="7" t="s">
        <v>1516</v>
      </c>
      <c r="C302" s="7" t="s">
        <v>2037</v>
      </c>
      <c r="D302" s="7" t="s">
        <v>2038</v>
      </c>
      <c r="E302" s="7" t="s">
        <v>1519</v>
      </c>
      <c r="F302" s="8" t="n">
        <v>53.28</v>
      </c>
      <c r="G302" s="14" t="n">
        <v>0</v>
      </c>
      <c r="H302" s="7" t="s">
        <v>84</v>
      </c>
      <c r="I302" s="7" t="s">
        <v>2039</v>
      </c>
    </row>
    <row r="303" customFormat="false" ht="21.75" hidden="false" customHeight="true" outlineLevel="0" collapsed="false">
      <c r="B303" s="4" t="s">
        <v>1516</v>
      </c>
      <c r="C303" s="4" t="s">
        <v>2040</v>
      </c>
      <c r="D303" s="4" t="s">
        <v>2041</v>
      </c>
      <c r="E303" s="4" t="s">
        <v>1519</v>
      </c>
      <c r="F303" s="5" t="n">
        <v>1.11</v>
      </c>
      <c r="G303" s="13" t="n">
        <v>8</v>
      </c>
      <c r="H303" s="4" t="s">
        <v>71</v>
      </c>
      <c r="I303" s="4" t="s">
        <v>2042</v>
      </c>
    </row>
    <row r="304" customFormat="false" ht="21.75" hidden="false" customHeight="true" outlineLevel="0" collapsed="false">
      <c r="B304" s="7" t="s">
        <v>1516</v>
      </c>
      <c r="C304" s="7" t="s">
        <v>2043</v>
      </c>
      <c r="D304" s="7" t="s">
        <v>2044</v>
      </c>
      <c r="E304" s="7" t="s">
        <v>1519</v>
      </c>
      <c r="F304" s="8" t="n">
        <v>25.1</v>
      </c>
      <c r="G304" s="14" t="n">
        <v>0</v>
      </c>
      <c r="H304" s="7" t="s">
        <v>84</v>
      </c>
      <c r="I304" s="7" t="s">
        <v>1659</v>
      </c>
    </row>
    <row r="305" customFormat="false" ht="21.75" hidden="false" customHeight="true" outlineLevel="0" collapsed="false">
      <c r="B305" s="4" t="s">
        <v>1516</v>
      </c>
      <c r="C305" s="4" t="s">
        <v>2045</v>
      </c>
      <c r="D305" s="4" t="s">
        <v>2046</v>
      </c>
      <c r="E305" s="4" t="s">
        <v>1519</v>
      </c>
      <c r="F305" s="5" t="n">
        <v>6.06</v>
      </c>
      <c r="G305" s="13" t="n">
        <v>0</v>
      </c>
      <c r="H305" s="4" t="s">
        <v>84</v>
      </c>
      <c r="I305" s="4" t="s">
        <v>1617</v>
      </c>
    </row>
    <row r="306" customFormat="false" ht="21.75" hidden="false" customHeight="true" outlineLevel="0" collapsed="false">
      <c r="B306" s="7" t="s">
        <v>1516</v>
      </c>
      <c r="C306" s="7" t="s">
        <v>2047</v>
      </c>
      <c r="D306" s="7" t="s">
        <v>2048</v>
      </c>
      <c r="E306" s="7" t="s">
        <v>1519</v>
      </c>
      <c r="F306" s="8" t="n">
        <v>5.68</v>
      </c>
      <c r="G306" s="14" t="n">
        <v>0</v>
      </c>
      <c r="H306" s="7" t="s">
        <v>84</v>
      </c>
      <c r="I306" s="7" t="s">
        <v>2049</v>
      </c>
    </row>
    <row r="307" customFormat="false" ht="21.75" hidden="false" customHeight="true" outlineLevel="0" collapsed="false">
      <c r="B307" s="4" t="s">
        <v>1516</v>
      </c>
      <c r="C307" s="4" t="s">
        <v>2050</v>
      </c>
      <c r="D307" s="4" t="s">
        <v>2051</v>
      </c>
      <c r="E307" s="4" t="s">
        <v>1519</v>
      </c>
      <c r="F307" s="5" t="n">
        <v>6.44</v>
      </c>
      <c r="G307" s="13" t="n">
        <v>0</v>
      </c>
      <c r="H307" s="4" t="s">
        <v>84</v>
      </c>
      <c r="I307" s="4" t="s">
        <v>1659</v>
      </c>
    </row>
    <row r="308" customFormat="false" ht="21.75" hidden="false" customHeight="true" outlineLevel="0" collapsed="false">
      <c r="B308" s="7" t="s">
        <v>1516</v>
      </c>
      <c r="C308" s="7" t="s">
        <v>2052</v>
      </c>
      <c r="D308" s="7" t="s">
        <v>2053</v>
      </c>
      <c r="E308" s="7" t="s">
        <v>1519</v>
      </c>
      <c r="F308" s="8" t="n">
        <v>8.34</v>
      </c>
      <c r="G308" s="14" t="n">
        <v>0</v>
      </c>
      <c r="H308" s="7" t="s">
        <v>84</v>
      </c>
      <c r="I308" s="7" t="s">
        <v>2054</v>
      </c>
    </row>
    <row r="309" customFormat="false" ht="21.75" hidden="false" customHeight="true" outlineLevel="0" collapsed="false">
      <c r="B309" s="4" t="s">
        <v>1516</v>
      </c>
      <c r="C309" s="4" t="s">
        <v>2055</v>
      </c>
      <c r="D309" s="4" t="s">
        <v>2056</v>
      </c>
      <c r="E309" s="4" t="s">
        <v>1519</v>
      </c>
      <c r="F309" s="5" t="n">
        <v>68.51</v>
      </c>
      <c r="G309" s="13" t="n">
        <v>0</v>
      </c>
      <c r="H309" s="4" t="s">
        <v>84</v>
      </c>
      <c r="I309" s="4" t="s">
        <v>2057</v>
      </c>
    </row>
    <row r="310" customFormat="false" ht="21.75" hidden="false" customHeight="true" outlineLevel="0" collapsed="false">
      <c r="B310" s="7" t="s">
        <v>1516</v>
      </c>
      <c r="C310" s="7" t="s">
        <v>2058</v>
      </c>
      <c r="D310" s="7" t="s">
        <v>2059</v>
      </c>
      <c r="E310" s="7" t="s">
        <v>1519</v>
      </c>
      <c r="F310" s="8" t="n">
        <v>308.31</v>
      </c>
      <c r="G310" s="14" t="n">
        <v>3</v>
      </c>
      <c r="H310" s="7" t="s">
        <v>71</v>
      </c>
      <c r="I310" s="7" t="s">
        <v>2054</v>
      </c>
    </row>
    <row r="311" customFormat="false" ht="21.75" hidden="false" customHeight="true" outlineLevel="0" collapsed="false">
      <c r="B311" s="4" t="s">
        <v>1516</v>
      </c>
      <c r="C311" s="4" t="s">
        <v>2060</v>
      </c>
      <c r="D311" s="4" t="s">
        <v>2061</v>
      </c>
      <c r="E311" s="4" t="s">
        <v>1519</v>
      </c>
      <c r="F311" s="5" t="n">
        <v>57.09</v>
      </c>
      <c r="G311" s="13" t="n">
        <v>8</v>
      </c>
      <c r="H311" s="4" t="s">
        <v>71</v>
      </c>
      <c r="I311" s="4" t="s">
        <v>2054</v>
      </c>
    </row>
    <row r="312" customFormat="false" ht="21.75" hidden="false" customHeight="true" outlineLevel="0" collapsed="false">
      <c r="B312" s="7" t="s">
        <v>1516</v>
      </c>
      <c r="C312" s="7" t="s">
        <v>2062</v>
      </c>
      <c r="D312" s="7" t="s">
        <v>2063</v>
      </c>
      <c r="E312" s="7" t="s">
        <v>1565</v>
      </c>
      <c r="F312" s="8" t="n">
        <v>139.18</v>
      </c>
      <c r="G312" s="14"/>
      <c r="H312" s="7" t="s">
        <v>84</v>
      </c>
      <c r="I312" s="7" t="s">
        <v>1538</v>
      </c>
    </row>
    <row r="313" customFormat="false" ht="21.75" hidden="false" customHeight="true" outlineLevel="0" collapsed="false">
      <c r="B313" s="4" t="s">
        <v>1516</v>
      </c>
      <c r="C313" s="4" t="s">
        <v>2064</v>
      </c>
      <c r="D313" s="4" t="s">
        <v>2065</v>
      </c>
      <c r="E313" s="4" t="s">
        <v>1519</v>
      </c>
      <c r="F313" s="5" t="n">
        <v>1.87</v>
      </c>
      <c r="G313" s="13" t="n">
        <v>0</v>
      </c>
      <c r="H313" s="4" t="s">
        <v>84</v>
      </c>
      <c r="I313" s="4" t="s">
        <v>2066</v>
      </c>
    </row>
    <row r="314" customFormat="false" ht="21.75" hidden="false" customHeight="true" outlineLevel="0" collapsed="false">
      <c r="B314" s="7" t="s">
        <v>1516</v>
      </c>
      <c r="C314" s="7" t="s">
        <v>2067</v>
      </c>
      <c r="D314" s="7" t="s">
        <v>2068</v>
      </c>
      <c r="E314" s="7" t="s">
        <v>1519</v>
      </c>
      <c r="F314" s="8" t="n">
        <v>1.49</v>
      </c>
      <c r="G314" s="14" t="n">
        <v>0</v>
      </c>
      <c r="H314" s="7" t="s">
        <v>84</v>
      </c>
      <c r="I314" s="7" t="s">
        <v>2069</v>
      </c>
    </row>
    <row r="315" customFormat="false" ht="21.75" hidden="false" customHeight="true" outlineLevel="0" collapsed="false">
      <c r="B315" s="4" t="s">
        <v>1516</v>
      </c>
      <c r="C315" s="4" t="s">
        <v>2070</v>
      </c>
      <c r="D315" s="4" t="s">
        <v>2071</v>
      </c>
      <c r="E315" s="4" t="s">
        <v>1519</v>
      </c>
      <c r="F315" s="5" t="n">
        <v>3.01</v>
      </c>
      <c r="G315" s="13" t="n">
        <v>0</v>
      </c>
      <c r="H315" s="4" t="s">
        <v>84</v>
      </c>
      <c r="I315" s="4" t="s">
        <v>2072</v>
      </c>
    </row>
    <row r="316" customFormat="false" ht="21.75" hidden="false" customHeight="true" outlineLevel="0" collapsed="false">
      <c r="B316" s="7" t="s">
        <v>1516</v>
      </c>
      <c r="C316" s="7" t="s">
        <v>2073</v>
      </c>
      <c r="D316" s="7" t="s">
        <v>2074</v>
      </c>
      <c r="E316" s="7" t="s">
        <v>1519</v>
      </c>
      <c r="F316" s="8" t="n">
        <v>1.11</v>
      </c>
      <c r="G316" s="14" t="n">
        <v>186</v>
      </c>
      <c r="H316" s="7" t="s">
        <v>71</v>
      </c>
      <c r="I316" s="7" t="s">
        <v>2075</v>
      </c>
    </row>
    <row r="317" customFormat="false" ht="21.75" hidden="false" customHeight="true" outlineLevel="0" collapsed="false">
      <c r="B317" s="4" t="s">
        <v>1516</v>
      </c>
      <c r="C317" s="4" t="s">
        <v>2076</v>
      </c>
      <c r="D317" s="4" t="s">
        <v>2077</v>
      </c>
      <c r="E317" s="4" t="s">
        <v>1519</v>
      </c>
      <c r="F317" s="5" t="n">
        <v>1.11</v>
      </c>
      <c r="G317" s="13" t="n">
        <v>39</v>
      </c>
      <c r="H317" s="4" t="s">
        <v>71</v>
      </c>
      <c r="I317" s="4" t="s">
        <v>2078</v>
      </c>
    </row>
    <row r="318" customFormat="false" ht="21.75" hidden="false" customHeight="true" outlineLevel="0" collapsed="false">
      <c r="B318" s="7" t="s">
        <v>1516</v>
      </c>
      <c r="C318" s="7" t="s">
        <v>2079</v>
      </c>
      <c r="D318" s="7" t="s">
        <v>2080</v>
      </c>
      <c r="E318" s="7" t="s">
        <v>1519</v>
      </c>
      <c r="F318" s="8" t="n">
        <v>1.49</v>
      </c>
      <c r="G318" s="14" t="n">
        <v>0</v>
      </c>
      <c r="H318" s="7" t="s">
        <v>84</v>
      </c>
      <c r="I318" s="7" t="s">
        <v>2081</v>
      </c>
    </row>
    <row r="319" customFormat="false" ht="21.75" hidden="false" customHeight="true" outlineLevel="0" collapsed="false">
      <c r="B319" s="4" t="s">
        <v>1516</v>
      </c>
      <c r="C319" s="4" t="s">
        <v>2082</v>
      </c>
      <c r="D319" s="4" t="s">
        <v>2083</v>
      </c>
      <c r="E319" s="4" t="s">
        <v>1519</v>
      </c>
      <c r="F319" s="5" t="n">
        <v>1.87</v>
      </c>
      <c r="G319" s="13" t="n">
        <v>135</v>
      </c>
      <c r="H319" s="4" t="s">
        <v>71</v>
      </c>
      <c r="I319" s="4" t="s">
        <v>2084</v>
      </c>
    </row>
    <row r="320" customFormat="false" ht="21.75" hidden="false" customHeight="true" outlineLevel="0" collapsed="false">
      <c r="B320" s="7" t="s">
        <v>1516</v>
      </c>
      <c r="C320" s="7" t="s">
        <v>2085</v>
      </c>
      <c r="D320" s="7" t="s">
        <v>2086</v>
      </c>
      <c r="E320" s="7" t="s">
        <v>1519</v>
      </c>
      <c r="F320" s="8" t="n">
        <v>1.87</v>
      </c>
      <c r="G320" s="14" t="n">
        <v>0</v>
      </c>
      <c r="H320" s="7" t="s">
        <v>84</v>
      </c>
      <c r="I320" s="7" t="s">
        <v>2087</v>
      </c>
    </row>
    <row r="321" customFormat="false" ht="21.75" hidden="false" customHeight="true" outlineLevel="0" collapsed="false">
      <c r="B321" s="4" t="s">
        <v>1516</v>
      </c>
      <c r="C321" s="4" t="s">
        <v>2088</v>
      </c>
      <c r="D321" s="4" t="s">
        <v>2089</v>
      </c>
      <c r="E321" s="4" t="s">
        <v>1519</v>
      </c>
      <c r="F321" s="5" t="n">
        <v>2.63</v>
      </c>
      <c r="G321" s="13" t="n">
        <v>143</v>
      </c>
      <c r="H321" s="4" t="s">
        <v>71</v>
      </c>
      <c r="I321" s="4" t="s">
        <v>2090</v>
      </c>
    </row>
    <row r="322" customFormat="false" ht="21.75" hidden="false" customHeight="true" outlineLevel="0" collapsed="false">
      <c r="B322" s="7" t="s">
        <v>1516</v>
      </c>
      <c r="C322" s="7" t="s">
        <v>2091</v>
      </c>
      <c r="D322" s="7" t="s">
        <v>2092</v>
      </c>
      <c r="E322" s="7" t="s">
        <v>1519</v>
      </c>
      <c r="F322" s="8" t="n">
        <v>1.87</v>
      </c>
      <c r="G322" s="14" t="n">
        <v>0</v>
      </c>
      <c r="H322" s="7" t="s">
        <v>84</v>
      </c>
      <c r="I322" s="7" t="s">
        <v>2093</v>
      </c>
    </row>
    <row r="323" customFormat="false" ht="21.75" hidden="false" customHeight="true" outlineLevel="0" collapsed="false">
      <c r="B323" s="4" t="s">
        <v>1516</v>
      </c>
      <c r="C323" s="4" t="s">
        <v>2094</v>
      </c>
      <c r="D323" s="4" t="s">
        <v>2095</v>
      </c>
      <c r="E323" s="4" t="s">
        <v>1519</v>
      </c>
      <c r="F323" s="5" t="n">
        <v>1.87</v>
      </c>
      <c r="G323" s="13" t="n">
        <v>0</v>
      </c>
      <c r="H323" s="4" t="s">
        <v>84</v>
      </c>
      <c r="I323" s="4" t="s">
        <v>2096</v>
      </c>
    </row>
    <row r="324" customFormat="false" ht="21.75" hidden="false" customHeight="true" outlineLevel="0" collapsed="false">
      <c r="B324" s="7" t="s">
        <v>1516</v>
      </c>
      <c r="C324" s="7" t="s">
        <v>2097</v>
      </c>
      <c r="D324" s="7" t="s">
        <v>2098</v>
      </c>
      <c r="E324" s="7" t="s">
        <v>1519</v>
      </c>
      <c r="F324" s="8" t="n">
        <v>2.25</v>
      </c>
      <c r="G324" s="14" t="n">
        <v>0</v>
      </c>
      <c r="H324" s="7" t="s">
        <v>84</v>
      </c>
      <c r="I324" s="7" t="s">
        <v>2099</v>
      </c>
    </row>
    <row r="325" customFormat="false" ht="21.75" hidden="false" customHeight="true" outlineLevel="0" collapsed="false">
      <c r="B325" s="4" t="s">
        <v>1516</v>
      </c>
      <c r="C325" s="4" t="s">
        <v>2100</v>
      </c>
      <c r="D325" s="4" t="s">
        <v>2101</v>
      </c>
      <c r="E325" s="4" t="s">
        <v>1519</v>
      </c>
      <c r="F325" s="5" t="n">
        <v>1.11</v>
      </c>
      <c r="G325" s="13" t="n">
        <v>25</v>
      </c>
      <c r="H325" s="4" t="s">
        <v>71</v>
      </c>
      <c r="I325" s="4" t="s">
        <v>2102</v>
      </c>
    </row>
    <row r="326" customFormat="false" ht="21.75" hidden="false" customHeight="true" outlineLevel="0" collapsed="false">
      <c r="B326" s="7" t="s">
        <v>1516</v>
      </c>
      <c r="C326" s="7" t="s">
        <v>2103</v>
      </c>
      <c r="D326" s="7" t="s">
        <v>2104</v>
      </c>
      <c r="E326" s="7" t="s">
        <v>1519</v>
      </c>
      <c r="F326" s="8" t="n">
        <v>1.87</v>
      </c>
      <c r="G326" s="14" t="n">
        <v>15</v>
      </c>
      <c r="H326" s="7" t="s">
        <v>71</v>
      </c>
      <c r="I326" s="7" t="s">
        <v>2105</v>
      </c>
    </row>
    <row r="327" customFormat="false" ht="21.75" hidden="false" customHeight="true" outlineLevel="0" collapsed="false">
      <c r="B327" s="4" t="s">
        <v>1516</v>
      </c>
      <c r="C327" s="4" t="s">
        <v>2106</v>
      </c>
      <c r="D327" s="4" t="s">
        <v>2107</v>
      </c>
      <c r="E327" s="4" t="s">
        <v>1519</v>
      </c>
      <c r="F327" s="5" t="n">
        <v>1.11</v>
      </c>
      <c r="G327" s="13" t="n">
        <v>0</v>
      </c>
      <c r="H327" s="4" t="s">
        <v>84</v>
      </c>
      <c r="I327" s="4" t="s">
        <v>2108</v>
      </c>
    </row>
    <row r="328" customFormat="false" ht="21.75" hidden="false" customHeight="true" outlineLevel="0" collapsed="false">
      <c r="B328" s="7" t="s">
        <v>1516</v>
      </c>
      <c r="C328" s="7" t="s">
        <v>2109</v>
      </c>
      <c r="D328" s="7" t="s">
        <v>2110</v>
      </c>
      <c r="E328" s="7" t="s">
        <v>1519</v>
      </c>
      <c r="F328" s="8" t="n">
        <v>2.63</v>
      </c>
      <c r="G328" s="14" t="n">
        <v>0</v>
      </c>
      <c r="H328" s="7" t="s">
        <v>84</v>
      </c>
      <c r="I328" s="7" t="s">
        <v>1656</v>
      </c>
    </row>
    <row r="329" customFormat="false" ht="21.75" hidden="false" customHeight="true" outlineLevel="0" collapsed="false">
      <c r="B329" s="4" t="s">
        <v>1516</v>
      </c>
      <c r="C329" s="4" t="s">
        <v>2111</v>
      </c>
      <c r="D329" s="4" t="s">
        <v>2112</v>
      </c>
      <c r="E329" s="4" t="s">
        <v>1519</v>
      </c>
      <c r="F329" s="5" t="n">
        <v>1.49</v>
      </c>
      <c r="G329" s="13" t="n">
        <v>0</v>
      </c>
      <c r="H329" s="4" t="s">
        <v>84</v>
      </c>
      <c r="I329" s="4" t="s">
        <v>2113</v>
      </c>
    </row>
    <row r="330" customFormat="false" ht="21.75" hidden="false" customHeight="true" outlineLevel="0" collapsed="false">
      <c r="B330" s="7" t="s">
        <v>1516</v>
      </c>
      <c r="C330" s="7" t="s">
        <v>2114</v>
      </c>
      <c r="D330" s="7" t="s">
        <v>2115</v>
      </c>
      <c r="E330" s="7" t="s">
        <v>1519</v>
      </c>
      <c r="F330" s="8" t="n">
        <v>113.87</v>
      </c>
      <c r="G330" s="14" t="n">
        <v>1</v>
      </c>
      <c r="H330" s="7" t="s">
        <v>71</v>
      </c>
      <c r="I330" s="7" t="s">
        <v>1792</v>
      </c>
    </row>
    <row r="331" customFormat="false" ht="21.75" hidden="false" customHeight="true" outlineLevel="0" collapsed="false">
      <c r="B331" s="4" t="s">
        <v>1516</v>
      </c>
      <c r="C331" s="4" t="s">
        <v>2116</v>
      </c>
      <c r="D331" s="4" t="s">
        <v>2117</v>
      </c>
      <c r="E331" s="4" t="s">
        <v>1565</v>
      </c>
      <c r="F331" s="5" t="n">
        <v>46.32</v>
      </c>
      <c r="G331" s="13"/>
      <c r="H331" s="4" t="s">
        <v>84</v>
      </c>
      <c r="I331" s="4" t="s">
        <v>1538</v>
      </c>
    </row>
    <row r="332" customFormat="false" ht="21.75" hidden="false" customHeight="true" outlineLevel="0" collapsed="false">
      <c r="B332" s="7" t="s">
        <v>1516</v>
      </c>
      <c r="C332" s="7" t="s">
        <v>2118</v>
      </c>
      <c r="D332" s="7" t="s">
        <v>2119</v>
      </c>
      <c r="E332" s="7" t="s">
        <v>1519</v>
      </c>
      <c r="F332" s="8" t="n">
        <v>13.68</v>
      </c>
      <c r="G332" s="14" t="n">
        <v>1</v>
      </c>
      <c r="H332" s="7" t="s">
        <v>71</v>
      </c>
      <c r="I332" s="7" t="s">
        <v>2120</v>
      </c>
    </row>
    <row r="333" customFormat="false" ht="21.75" hidden="false" customHeight="true" outlineLevel="0" collapsed="false">
      <c r="B333" s="4" t="s">
        <v>1516</v>
      </c>
      <c r="C333" s="4" t="s">
        <v>2121</v>
      </c>
      <c r="D333" s="4" t="s">
        <v>2122</v>
      </c>
      <c r="E333" s="4" t="s">
        <v>1519</v>
      </c>
      <c r="F333" s="5" t="n">
        <v>9.49</v>
      </c>
      <c r="G333" s="13" t="n">
        <v>2</v>
      </c>
      <c r="H333" s="4" t="s">
        <v>71</v>
      </c>
      <c r="I333" s="4" t="s">
        <v>2123</v>
      </c>
    </row>
    <row r="334" customFormat="false" ht="21.75" hidden="false" customHeight="true" outlineLevel="0" collapsed="false">
      <c r="B334" s="7" t="s">
        <v>1516</v>
      </c>
      <c r="C334" s="7" t="s">
        <v>2124</v>
      </c>
      <c r="D334" s="7" t="s">
        <v>2125</v>
      </c>
      <c r="E334" s="7" t="s">
        <v>1519</v>
      </c>
      <c r="F334" s="8" t="n">
        <v>13.68</v>
      </c>
      <c r="G334" s="14" t="n">
        <v>1</v>
      </c>
      <c r="H334" s="7" t="s">
        <v>71</v>
      </c>
      <c r="I334" s="7" t="s">
        <v>2126</v>
      </c>
    </row>
    <row r="335" customFormat="false" ht="21.75" hidden="false" customHeight="true" outlineLevel="0" collapsed="false">
      <c r="B335" s="4" t="s">
        <v>1516</v>
      </c>
      <c r="C335" s="4" t="s">
        <v>2127</v>
      </c>
      <c r="D335" s="4" t="s">
        <v>2128</v>
      </c>
      <c r="E335" s="4" t="s">
        <v>1565</v>
      </c>
      <c r="F335" s="5" t="n">
        <v>120.43</v>
      </c>
      <c r="G335" s="13"/>
      <c r="H335" s="4" t="s">
        <v>84</v>
      </c>
      <c r="I335" s="4" t="s">
        <v>1617</v>
      </c>
    </row>
    <row r="336" customFormat="false" ht="21.75" hidden="false" customHeight="true" outlineLevel="0" collapsed="false">
      <c r="B336" s="7" t="s">
        <v>1516</v>
      </c>
      <c r="C336" s="7" t="s">
        <v>2129</v>
      </c>
      <c r="D336" s="7" t="s">
        <v>518</v>
      </c>
      <c r="E336" s="7" t="s">
        <v>1519</v>
      </c>
      <c r="F336" s="8" t="n">
        <v>10.79</v>
      </c>
      <c r="G336" s="14" t="n">
        <v>498</v>
      </c>
      <c r="H336" s="7" t="s">
        <v>71</v>
      </c>
      <c r="I336" s="7" t="s">
        <v>2130</v>
      </c>
    </row>
    <row r="337" customFormat="false" ht="21.75" hidden="false" customHeight="true" outlineLevel="0" collapsed="false">
      <c r="B337" s="4" t="s">
        <v>1516</v>
      </c>
      <c r="C337" s="4" t="s">
        <v>2131</v>
      </c>
      <c r="D337" s="4" t="s">
        <v>522</v>
      </c>
      <c r="E337" s="4" t="s">
        <v>1519</v>
      </c>
      <c r="F337" s="5" t="n">
        <v>27.01</v>
      </c>
      <c r="G337" s="13" t="n">
        <v>499</v>
      </c>
      <c r="H337" s="4" t="s">
        <v>71</v>
      </c>
      <c r="I337" s="4" t="s">
        <v>2132</v>
      </c>
    </row>
    <row r="338" customFormat="false" ht="21.75" hidden="false" customHeight="true" outlineLevel="0" collapsed="false">
      <c r="B338" s="7" t="s">
        <v>1516</v>
      </c>
      <c r="C338" s="7" t="s">
        <v>2133</v>
      </c>
      <c r="D338" s="7" t="s">
        <v>2134</v>
      </c>
      <c r="E338" s="7" t="s">
        <v>1519</v>
      </c>
      <c r="F338" s="8" t="n">
        <v>57.93</v>
      </c>
      <c r="G338" s="14" t="n">
        <v>500</v>
      </c>
      <c r="H338" s="7" t="s">
        <v>71</v>
      </c>
      <c r="I338" s="7" t="s">
        <v>2135</v>
      </c>
    </row>
    <row r="339" customFormat="false" ht="21.75" hidden="false" customHeight="true" outlineLevel="0" collapsed="false">
      <c r="B339" s="4" t="s">
        <v>1516</v>
      </c>
      <c r="C339" s="4" t="s">
        <v>2136</v>
      </c>
      <c r="D339" s="4" t="s">
        <v>2137</v>
      </c>
      <c r="E339" s="4" t="s">
        <v>1519</v>
      </c>
      <c r="F339" s="5" t="n">
        <v>1.55</v>
      </c>
      <c r="G339" s="13" t="n">
        <v>227</v>
      </c>
      <c r="H339" s="4" t="s">
        <v>71</v>
      </c>
      <c r="I339" s="4" t="s">
        <v>2138</v>
      </c>
    </row>
    <row r="340" customFormat="false" ht="21.75" hidden="false" customHeight="true" outlineLevel="0" collapsed="false">
      <c r="B340" s="7" t="s">
        <v>1516</v>
      </c>
      <c r="C340" s="7" t="s">
        <v>2139</v>
      </c>
      <c r="D340" s="7" t="s">
        <v>520</v>
      </c>
      <c r="E340" s="7" t="s">
        <v>1519</v>
      </c>
      <c r="F340" s="8" t="n">
        <v>4.6</v>
      </c>
      <c r="G340" s="14" t="n">
        <v>484</v>
      </c>
      <c r="H340" s="7" t="s">
        <v>71</v>
      </c>
      <c r="I340" s="7" t="s">
        <v>2140</v>
      </c>
    </row>
    <row r="341" customFormat="false" ht="21.75" hidden="false" customHeight="true" outlineLevel="0" collapsed="false">
      <c r="B341" s="4" t="s">
        <v>1516</v>
      </c>
      <c r="C341" s="4" t="s">
        <v>2141</v>
      </c>
      <c r="D341" s="4" t="s">
        <v>2142</v>
      </c>
      <c r="E341" s="4" t="s">
        <v>1519</v>
      </c>
      <c r="F341" s="5" t="n">
        <v>3.01</v>
      </c>
      <c r="G341" s="13" t="n">
        <v>0</v>
      </c>
      <c r="H341" s="4" t="s">
        <v>84</v>
      </c>
      <c r="I341" s="4" t="s">
        <v>1659</v>
      </c>
    </row>
    <row r="342" customFormat="false" ht="21.75" hidden="false" customHeight="true" outlineLevel="0" collapsed="false">
      <c r="B342" s="7" t="s">
        <v>1516</v>
      </c>
      <c r="C342" s="7" t="s">
        <v>2143</v>
      </c>
      <c r="D342" s="7" t="s">
        <v>2144</v>
      </c>
      <c r="E342" s="7" t="s">
        <v>1519</v>
      </c>
      <c r="F342" s="8" t="n">
        <v>3.39</v>
      </c>
      <c r="G342" s="14" t="n">
        <v>14</v>
      </c>
      <c r="H342" s="7" t="s">
        <v>71</v>
      </c>
      <c r="I342" s="7" t="s">
        <v>1529</v>
      </c>
    </row>
    <row r="343" customFormat="false" ht="21.75" hidden="false" customHeight="true" outlineLevel="0" collapsed="false">
      <c r="B343" s="4" t="s">
        <v>1516</v>
      </c>
      <c r="C343" s="4" t="s">
        <v>2145</v>
      </c>
      <c r="D343" s="4" t="s">
        <v>2146</v>
      </c>
      <c r="E343" s="4" t="s">
        <v>1519</v>
      </c>
      <c r="F343" s="5" t="n">
        <v>2.25</v>
      </c>
      <c r="G343" s="13" t="n">
        <v>34</v>
      </c>
      <c r="H343" s="4" t="s">
        <v>71</v>
      </c>
      <c r="I343" s="4" t="s">
        <v>2147</v>
      </c>
    </row>
    <row r="344" customFormat="false" ht="21.75" hidden="false" customHeight="true" outlineLevel="0" collapsed="false">
      <c r="B344" s="7" t="s">
        <v>1516</v>
      </c>
      <c r="C344" s="7" t="s">
        <v>2148</v>
      </c>
      <c r="D344" s="7" t="s">
        <v>2149</v>
      </c>
      <c r="E344" s="7" t="s">
        <v>1519</v>
      </c>
      <c r="F344" s="8" t="n">
        <v>3.01</v>
      </c>
      <c r="G344" s="14" t="n">
        <v>0</v>
      </c>
      <c r="H344" s="7" t="s">
        <v>84</v>
      </c>
      <c r="I344" s="7" t="s">
        <v>1659</v>
      </c>
    </row>
    <row r="345" customFormat="false" ht="21.75" hidden="false" customHeight="true" outlineLevel="0" collapsed="false">
      <c r="B345" s="4" t="s">
        <v>1516</v>
      </c>
      <c r="C345" s="4" t="s">
        <v>2150</v>
      </c>
      <c r="D345" s="4" t="s">
        <v>2151</v>
      </c>
      <c r="E345" s="4" t="s">
        <v>1519</v>
      </c>
      <c r="F345" s="5" t="n">
        <v>7.58</v>
      </c>
      <c r="G345" s="13" t="n">
        <v>3</v>
      </c>
      <c r="H345" s="4" t="s">
        <v>71</v>
      </c>
      <c r="I345" s="4" t="s">
        <v>1626</v>
      </c>
    </row>
    <row r="346" customFormat="false" ht="21.75" hidden="false" customHeight="true" outlineLevel="0" collapsed="false">
      <c r="B346" s="7" t="s">
        <v>1516</v>
      </c>
      <c r="C346" s="7" t="s">
        <v>2152</v>
      </c>
      <c r="D346" s="7" t="s">
        <v>2153</v>
      </c>
      <c r="E346" s="7" t="s">
        <v>1519</v>
      </c>
      <c r="F346" s="8" t="n">
        <v>4.92</v>
      </c>
      <c r="G346" s="14" t="n">
        <v>11</v>
      </c>
      <c r="H346" s="7" t="s">
        <v>71</v>
      </c>
      <c r="I346" s="7" t="s">
        <v>1776</v>
      </c>
    </row>
    <row r="347" customFormat="false" ht="21.75" hidden="false" customHeight="true" outlineLevel="0" collapsed="false">
      <c r="B347" s="4" t="s">
        <v>1516</v>
      </c>
      <c r="C347" s="4" t="s">
        <v>2154</v>
      </c>
      <c r="D347" s="4" t="s">
        <v>2155</v>
      </c>
      <c r="E347" s="4" t="s">
        <v>1519</v>
      </c>
      <c r="F347" s="5" t="n">
        <v>11.01</v>
      </c>
      <c r="G347" s="13" t="n">
        <v>13</v>
      </c>
      <c r="H347" s="4" t="s">
        <v>71</v>
      </c>
      <c r="I347" s="4" t="s">
        <v>1574</v>
      </c>
    </row>
    <row r="348" customFormat="false" ht="21.75" hidden="false" customHeight="true" outlineLevel="0" collapsed="false">
      <c r="B348" s="7" t="s">
        <v>1516</v>
      </c>
      <c r="C348" s="7" t="s">
        <v>2156</v>
      </c>
      <c r="D348" s="7" t="s">
        <v>2157</v>
      </c>
      <c r="E348" s="7" t="s">
        <v>1519</v>
      </c>
      <c r="F348" s="8" t="n">
        <v>6.44</v>
      </c>
      <c r="G348" s="14" t="n">
        <v>17</v>
      </c>
      <c r="H348" s="7" t="s">
        <v>71</v>
      </c>
      <c r="I348" s="7" t="s">
        <v>2158</v>
      </c>
    </row>
    <row r="349" customFormat="false" ht="21.75" hidden="false" customHeight="true" outlineLevel="0" collapsed="false">
      <c r="B349" s="4" t="s">
        <v>1516</v>
      </c>
      <c r="C349" s="4" t="s">
        <v>2159</v>
      </c>
      <c r="D349" s="4" t="s">
        <v>2160</v>
      </c>
      <c r="E349" s="4" t="s">
        <v>1519</v>
      </c>
      <c r="F349" s="5" t="n">
        <v>19.01</v>
      </c>
      <c r="G349" s="13" t="n">
        <v>25</v>
      </c>
      <c r="H349" s="4" t="s">
        <v>71</v>
      </c>
      <c r="I349" s="4" t="s">
        <v>1891</v>
      </c>
    </row>
    <row r="350" customFormat="false" ht="21.75" hidden="false" customHeight="true" outlineLevel="0" collapsed="false">
      <c r="B350" s="7" t="s">
        <v>1516</v>
      </c>
      <c r="C350" s="7" t="s">
        <v>2161</v>
      </c>
      <c r="D350" s="7" t="s">
        <v>2162</v>
      </c>
      <c r="E350" s="7" t="s">
        <v>1519</v>
      </c>
      <c r="F350" s="8" t="n">
        <v>8.73</v>
      </c>
      <c r="G350" s="14" t="n">
        <v>26</v>
      </c>
      <c r="H350" s="7" t="s">
        <v>71</v>
      </c>
      <c r="I350" s="7" t="s">
        <v>2163</v>
      </c>
    </row>
    <row r="351" customFormat="false" ht="21.75" hidden="false" customHeight="true" outlineLevel="0" collapsed="false">
      <c r="B351" s="4" t="s">
        <v>1516</v>
      </c>
      <c r="C351" s="4" t="s">
        <v>2164</v>
      </c>
      <c r="D351" s="4" t="s">
        <v>2165</v>
      </c>
      <c r="E351" s="4" t="s">
        <v>1519</v>
      </c>
      <c r="F351" s="5" t="n">
        <v>2.63</v>
      </c>
      <c r="G351" s="13" t="n">
        <v>4</v>
      </c>
      <c r="H351" s="4" t="s">
        <v>71</v>
      </c>
      <c r="I351" s="4" t="s">
        <v>2166</v>
      </c>
    </row>
    <row r="352" customFormat="false" ht="21.75" hidden="false" customHeight="true" outlineLevel="0" collapsed="false">
      <c r="B352" s="7" t="s">
        <v>1516</v>
      </c>
      <c r="C352" s="7" t="s">
        <v>2167</v>
      </c>
      <c r="D352" s="7" t="s">
        <v>2168</v>
      </c>
      <c r="E352" s="7" t="s">
        <v>1519</v>
      </c>
      <c r="F352" s="8" t="n">
        <v>2.25</v>
      </c>
      <c r="G352" s="14" t="n">
        <v>4</v>
      </c>
      <c r="H352" s="7" t="s">
        <v>71</v>
      </c>
      <c r="I352" s="7" t="s">
        <v>2169</v>
      </c>
    </row>
    <row r="353" customFormat="false" ht="21.75" hidden="false" customHeight="true" outlineLevel="0" collapsed="false">
      <c r="B353" s="4" t="s">
        <v>1516</v>
      </c>
      <c r="C353" s="4" t="s">
        <v>2170</v>
      </c>
      <c r="D353" s="4" t="s">
        <v>2171</v>
      </c>
      <c r="E353" s="4" t="s">
        <v>1519</v>
      </c>
      <c r="F353" s="5" t="n">
        <v>2.25</v>
      </c>
      <c r="G353" s="13" t="n">
        <v>14</v>
      </c>
      <c r="H353" s="4" t="s">
        <v>71</v>
      </c>
      <c r="I353" s="4" t="s">
        <v>1574</v>
      </c>
    </row>
    <row r="354" customFormat="false" ht="21.75" hidden="false" customHeight="true" outlineLevel="0" collapsed="false">
      <c r="B354" s="7" t="s">
        <v>1516</v>
      </c>
      <c r="C354" s="7" t="s">
        <v>2172</v>
      </c>
      <c r="D354" s="7" t="s">
        <v>2173</v>
      </c>
      <c r="E354" s="7" t="s">
        <v>1519</v>
      </c>
      <c r="F354" s="8" t="n">
        <v>5.3</v>
      </c>
      <c r="G354" s="14" t="n">
        <v>25</v>
      </c>
      <c r="H354" s="7" t="s">
        <v>71</v>
      </c>
      <c r="I354" s="7" t="s">
        <v>1783</v>
      </c>
    </row>
    <row r="355" customFormat="false" ht="21.75" hidden="false" customHeight="true" outlineLevel="0" collapsed="false">
      <c r="B355" s="4" t="s">
        <v>1516</v>
      </c>
      <c r="C355" s="4" t="s">
        <v>2174</v>
      </c>
      <c r="D355" s="4" t="s">
        <v>2175</v>
      </c>
      <c r="E355" s="4" t="s">
        <v>1519</v>
      </c>
      <c r="F355" s="5" t="n">
        <v>15.2</v>
      </c>
      <c r="G355" s="13" t="n">
        <v>41</v>
      </c>
      <c r="H355" s="4" t="s">
        <v>71</v>
      </c>
      <c r="I355" s="4" t="s">
        <v>1591</v>
      </c>
    </row>
    <row r="356" customFormat="false" ht="21.75" hidden="false" customHeight="true" outlineLevel="0" collapsed="false">
      <c r="B356" s="7" t="s">
        <v>1516</v>
      </c>
      <c r="C356" s="7" t="s">
        <v>2176</v>
      </c>
      <c r="D356" s="7" t="s">
        <v>2177</v>
      </c>
      <c r="E356" s="7" t="s">
        <v>1519</v>
      </c>
      <c r="F356" s="8" t="n">
        <v>22.82</v>
      </c>
      <c r="G356" s="14" t="n">
        <v>7</v>
      </c>
      <c r="H356" s="7" t="s">
        <v>71</v>
      </c>
      <c r="I356" s="7" t="s">
        <v>1634</v>
      </c>
    </row>
    <row r="357" customFormat="false" ht="21.75" hidden="false" customHeight="true" outlineLevel="0" collapsed="false">
      <c r="B357" s="4" t="s">
        <v>1516</v>
      </c>
      <c r="C357" s="4" t="s">
        <v>2178</v>
      </c>
      <c r="D357" s="4" t="s">
        <v>2179</v>
      </c>
      <c r="E357" s="4" t="s">
        <v>1519</v>
      </c>
      <c r="F357" s="5" t="n">
        <v>190.37</v>
      </c>
      <c r="G357" s="13" t="n">
        <v>5</v>
      </c>
      <c r="H357" s="4" t="s">
        <v>71</v>
      </c>
      <c r="I357" s="4" t="s">
        <v>1538</v>
      </c>
    </row>
    <row r="358" customFormat="false" ht="21.75" hidden="false" customHeight="true" outlineLevel="0" collapsed="false">
      <c r="B358" s="7" t="s">
        <v>1516</v>
      </c>
      <c r="C358" s="7" t="s">
        <v>2180</v>
      </c>
      <c r="D358" s="7" t="s">
        <v>2181</v>
      </c>
      <c r="E358" s="7" t="s">
        <v>1565</v>
      </c>
      <c r="F358" s="8" t="n">
        <v>4.54</v>
      </c>
      <c r="G358" s="14" t="n">
        <v>171</v>
      </c>
      <c r="H358" s="7" t="s">
        <v>71</v>
      </c>
      <c r="I358" s="7" t="s">
        <v>1538</v>
      </c>
    </row>
    <row r="359" customFormat="false" ht="21.75" hidden="false" customHeight="true" outlineLevel="0" collapsed="false">
      <c r="B359" s="4" t="s">
        <v>1516</v>
      </c>
      <c r="C359" s="4" t="s">
        <v>2182</v>
      </c>
      <c r="D359" s="4" t="s">
        <v>2183</v>
      </c>
      <c r="E359" s="4" t="s">
        <v>1565</v>
      </c>
      <c r="F359" s="5" t="n">
        <v>3.77</v>
      </c>
      <c r="G359" s="13" t="n">
        <v>205</v>
      </c>
      <c r="H359" s="4" t="s">
        <v>71</v>
      </c>
      <c r="I359" s="4" t="s">
        <v>1538</v>
      </c>
    </row>
    <row r="360" customFormat="false" ht="21.75" hidden="false" customHeight="true" outlineLevel="0" collapsed="false">
      <c r="B360" s="7" t="s">
        <v>1516</v>
      </c>
      <c r="C360" s="7" t="s">
        <v>2184</v>
      </c>
      <c r="D360" s="7" t="s">
        <v>2185</v>
      </c>
      <c r="E360" s="7" t="s">
        <v>1565</v>
      </c>
      <c r="F360" s="8" t="n">
        <v>9.87</v>
      </c>
      <c r="G360" s="14" t="n">
        <v>52</v>
      </c>
      <c r="H360" s="7" t="s">
        <v>71</v>
      </c>
      <c r="I360" s="7" t="s">
        <v>1538</v>
      </c>
    </row>
    <row r="361" customFormat="false" ht="21.75" hidden="false" customHeight="true" outlineLevel="0" collapsed="false">
      <c r="B361" s="4" t="s">
        <v>1516</v>
      </c>
      <c r="C361" s="4" t="s">
        <v>2186</v>
      </c>
      <c r="D361" s="4" t="s">
        <v>2187</v>
      </c>
      <c r="E361" s="4" t="s">
        <v>1565</v>
      </c>
      <c r="F361" s="5" t="n">
        <v>19.01</v>
      </c>
      <c r="G361" s="13" t="n">
        <v>26</v>
      </c>
      <c r="H361" s="4" t="s">
        <v>71</v>
      </c>
      <c r="I361" s="4" t="s">
        <v>1538</v>
      </c>
    </row>
    <row r="362" customFormat="false" ht="21.75" hidden="false" customHeight="true" outlineLevel="0" collapsed="false">
      <c r="B362" s="7" t="s">
        <v>1516</v>
      </c>
      <c r="C362" s="7" t="s">
        <v>2188</v>
      </c>
      <c r="D362" s="7" t="s">
        <v>2189</v>
      </c>
      <c r="E362" s="7" t="s">
        <v>1565</v>
      </c>
      <c r="F362" s="8" t="n">
        <v>3.77</v>
      </c>
      <c r="G362" s="14" t="n">
        <v>187</v>
      </c>
      <c r="H362" s="7" t="s">
        <v>71</v>
      </c>
      <c r="I362" s="7" t="s">
        <v>1538</v>
      </c>
    </row>
    <row r="363" customFormat="false" ht="21.75" hidden="false" customHeight="true" outlineLevel="0" collapsed="false">
      <c r="B363" s="4" t="s">
        <v>1516</v>
      </c>
      <c r="C363" s="4" t="s">
        <v>2190</v>
      </c>
      <c r="D363" s="4" t="s">
        <v>2191</v>
      </c>
      <c r="E363" s="4" t="s">
        <v>1565</v>
      </c>
      <c r="F363" s="5" t="n">
        <v>4.16</v>
      </c>
      <c r="G363" s="13" t="n">
        <v>159</v>
      </c>
      <c r="H363" s="4" t="s">
        <v>71</v>
      </c>
      <c r="I363" s="4" t="s">
        <v>1538</v>
      </c>
    </row>
    <row r="364" customFormat="false" ht="21.75" hidden="false" customHeight="true" outlineLevel="0" collapsed="false">
      <c r="B364" s="7" t="s">
        <v>1516</v>
      </c>
      <c r="C364" s="7" t="s">
        <v>2192</v>
      </c>
      <c r="D364" s="7" t="s">
        <v>2193</v>
      </c>
      <c r="E364" s="7" t="s">
        <v>1565</v>
      </c>
      <c r="F364" s="8" t="n">
        <v>4.92</v>
      </c>
      <c r="G364" s="14" t="n">
        <v>137</v>
      </c>
      <c r="H364" s="7" t="s">
        <v>71</v>
      </c>
      <c r="I364" s="7" t="s">
        <v>1538</v>
      </c>
    </row>
    <row r="365" customFormat="false" ht="21.75" hidden="false" customHeight="true" outlineLevel="0" collapsed="false">
      <c r="B365" s="4" t="s">
        <v>1516</v>
      </c>
      <c r="C365" s="4" t="s">
        <v>2194</v>
      </c>
      <c r="D365" s="4" t="s">
        <v>2195</v>
      </c>
      <c r="E365" s="4" t="s">
        <v>1565</v>
      </c>
      <c r="F365" s="5" t="n">
        <v>6.06</v>
      </c>
      <c r="G365" s="13" t="n">
        <v>109</v>
      </c>
      <c r="H365" s="4" t="s">
        <v>71</v>
      </c>
      <c r="I365" s="4" t="s">
        <v>1538</v>
      </c>
    </row>
    <row r="366" customFormat="false" ht="21.75" hidden="false" customHeight="true" outlineLevel="0" collapsed="false">
      <c r="B366" s="7" t="s">
        <v>1516</v>
      </c>
      <c r="C366" s="7" t="s">
        <v>2196</v>
      </c>
      <c r="D366" s="7" t="s">
        <v>2197</v>
      </c>
      <c r="E366" s="7" t="s">
        <v>1565</v>
      </c>
      <c r="F366" s="8" t="n">
        <v>6.44</v>
      </c>
      <c r="G366" s="14" t="n">
        <v>103</v>
      </c>
      <c r="H366" s="7" t="s">
        <v>71</v>
      </c>
      <c r="I366" s="7" t="s">
        <v>1538</v>
      </c>
    </row>
    <row r="367" customFormat="false" ht="21.75" hidden="false" customHeight="true" outlineLevel="0" collapsed="false">
      <c r="B367" s="4" t="s">
        <v>1516</v>
      </c>
      <c r="C367" s="4" t="s">
        <v>2198</v>
      </c>
      <c r="D367" s="4" t="s">
        <v>2199</v>
      </c>
      <c r="E367" s="4" t="s">
        <v>1565</v>
      </c>
      <c r="F367" s="5" t="n">
        <v>6.82</v>
      </c>
      <c r="G367" s="13" t="n">
        <v>86</v>
      </c>
      <c r="H367" s="4" t="s">
        <v>71</v>
      </c>
      <c r="I367" s="4" t="s">
        <v>1538</v>
      </c>
    </row>
    <row r="368" customFormat="false" ht="21.75" hidden="false" customHeight="true" outlineLevel="0" collapsed="false">
      <c r="B368" s="7" t="s">
        <v>1516</v>
      </c>
      <c r="C368" s="7" t="s">
        <v>2200</v>
      </c>
      <c r="D368" s="7" t="s">
        <v>2201</v>
      </c>
      <c r="E368" s="7" t="s">
        <v>1565</v>
      </c>
      <c r="F368" s="8" t="n">
        <v>8.34</v>
      </c>
      <c r="G368" s="14" t="n">
        <v>69</v>
      </c>
      <c r="H368" s="7" t="s">
        <v>71</v>
      </c>
      <c r="I368" s="7" t="s">
        <v>1538</v>
      </c>
    </row>
    <row r="369" customFormat="false" ht="21.75" hidden="false" customHeight="true" outlineLevel="0" collapsed="false">
      <c r="B369" s="4" t="s">
        <v>1516</v>
      </c>
      <c r="C369" s="4" t="s">
        <v>2202</v>
      </c>
      <c r="D369" s="4" t="s">
        <v>2203</v>
      </c>
      <c r="E369" s="4" t="s">
        <v>1565</v>
      </c>
      <c r="F369" s="5" t="n">
        <v>9.11</v>
      </c>
      <c r="G369" s="13" t="n">
        <v>58</v>
      </c>
      <c r="H369" s="4" t="s">
        <v>71</v>
      </c>
      <c r="I369" s="4" t="s">
        <v>1538</v>
      </c>
    </row>
    <row r="370" customFormat="false" ht="21.75" hidden="false" customHeight="true" outlineLevel="0" collapsed="false">
      <c r="B370" s="7" t="s">
        <v>1516</v>
      </c>
      <c r="C370" s="7" t="s">
        <v>2204</v>
      </c>
      <c r="D370" s="7" t="s">
        <v>2205</v>
      </c>
      <c r="E370" s="7" t="s">
        <v>1519</v>
      </c>
      <c r="F370" s="8" t="n">
        <v>2.25</v>
      </c>
      <c r="G370" s="14" t="n">
        <v>80</v>
      </c>
      <c r="H370" s="7" t="s">
        <v>71</v>
      </c>
      <c r="I370" s="7" t="s">
        <v>1538</v>
      </c>
    </row>
    <row r="371" customFormat="false" ht="21.75" hidden="false" customHeight="true" outlineLevel="0" collapsed="false">
      <c r="B371" s="4" t="s">
        <v>1516</v>
      </c>
      <c r="C371" s="4" t="s">
        <v>2206</v>
      </c>
      <c r="D371" s="4" t="s">
        <v>386</v>
      </c>
      <c r="E371" s="4" t="s">
        <v>1565</v>
      </c>
      <c r="F371" s="5" t="n">
        <v>1.49</v>
      </c>
      <c r="G371" s="13" t="n">
        <v>672</v>
      </c>
      <c r="H371" s="4" t="s">
        <v>71</v>
      </c>
      <c r="I371" s="4" t="s">
        <v>1538</v>
      </c>
    </row>
    <row r="372" customFormat="false" ht="21.75" hidden="false" customHeight="true" outlineLevel="0" collapsed="false">
      <c r="B372" s="7" t="s">
        <v>1516</v>
      </c>
      <c r="C372" s="7" t="s">
        <v>2207</v>
      </c>
      <c r="D372" s="7" t="s">
        <v>383</v>
      </c>
      <c r="E372" s="7" t="s">
        <v>1565</v>
      </c>
      <c r="F372" s="8" t="n">
        <v>7.58</v>
      </c>
      <c r="G372" s="14" t="n">
        <v>83</v>
      </c>
      <c r="H372" s="7" t="s">
        <v>71</v>
      </c>
      <c r="I372" s="7" t="s">
        <v>1538</v>
      </c>
    </row>
    <row r="373" customFormat="false" ht="21.75" hidden="false" customHeight="true" outlineLevel="0" collapsed="false">
      <c r="B373" s="4" t="s">
        <v>1516</v>
      </c>
      <c r="C373" s="4" t="s">
        <v>2208</v>
      </c>
      <c r="D373" s="4" t="s">
        <v>2209</v>
      </c>
      <c r="E373" s="4" t="s">
        <v>1565</v>
      </c>
      <c r="F373" s="5" t="n">
        <v>6.54</v>
      </c>
      <c r="G373" s="13" t="n">
        <v>90</v>
      </c>
      <c r="H373" s="4" t="s">
        <v>71</v>
      </c>
      <c r="I373" s="4" t="s">
        <v>1538</v>
      </c>
    </row>
    <row r="374" customFormat="false" ht="21.75" hidden="false" customHeight="true" outlineLevel="0" collapsed="false">
      <c r="B374" s="7" t="s">
        <v>1516</v>
      </c>
      <c r="C374" s="7" t="s">
        <v>2210</v>
      </c>
      <c r="D374" s="7" t="s">
        <v>2211</v>
      </c>
      <c r="E374" s="7" t="s">
        <v>1519</v>
      </c>
      <c r="F374" s="8" t="n">
        <v>4.16</v>
      </c>
      <c r="G374" s="14" t="n">
        <v>11</v>
      </c>
      <c r="H374" s="7" t="s">
        <v>71</v>
      </c>
      <c r="I374" s="7" t="s">
        <v>1538</v>
      </c>
    </row>
    <row r="375" customFormat="false" ht="21.75" hidden="false" customHeight="true" outlineLevel="0" collapsed="false">
      <c r="B375" s="4" t="s">
        <v>1516</v>
      </c>
      <c r="C375" s="4" t="s">
        <v>2212</v>
      </c>
      <c r="D375" s="4" t="s">
        <v>2213</v>
      </c>
      <c r="E375" s="4" t="s">
        <v>1565</v>
      </c>
      <c r="F375" s="5" t="n">
        <v>4.99</v>
      </c>
      <c r="G375" s="13" t="n">
        <v>137</v>
      </c>
      <c r="H375" s="4" t="s">
        <v>71</v>
      </c>
      <c r="I375" s="4" t="s">
        <v>1538</v>
      </c>
    </row>
    <row r="376" customFormat="false" ht="21.75" hidden="false" customHeight="true" outlineLevel="0" collapsed="false">
      <c r="B376" s="7" t="s">
        <v>1516</v>
      </c>
      <c r="C376" s="7" t="s">
        <v>2214</v>
      </c>
      <c r="D376" s="7" t="s">
        <v>2215</v>
      </c>
      <c r="E376" s="7" t="s">
        <v>1565</v>
      </c>
      <c r="F376" s="8" t="n">
        <v>38.62</v>
      </c>
      <c r="G376" s="14" t="n">
        <v>12</v>
      </c>
      <c r="H376" s="7" t="s">
        <v>71</v>
      </c>
      <c r="I376" s="7" t="s">
        <v>1538</v>
      </c>
    </row>
    <row r="377" customFormat="false" ht="21.75" hidden="false" customHeight="true" outlineLevel="0" collapsed="false">
      <c r="B377" s="4" t="s">
        <v>1516</v>
      </c>
      <c r="C377" s="4" t="s">
        <v>2216</v>
      </c>
      <c r="D377" s="4" t="s">
        <v>2217</v>
      </c>
      <c r="E377" s="4" t="s">
        <v>1519</v>
      </c>
      <c r="F377" s="5" t="n">
        <v>5.3</v>
      </c>
      <c r="G377" s="13" t="n">
        <v>13</v>
      </c>
      <c r="H377" s="4" t="s">
        <v>71</v>
      </c>
      <c r="I377" s="4" t="s">
        <v>1538</v>
      </c>
    </row>
    <row r="378" customFormat="false" ht="21.75" hidden="false" customHeight="true" outlineLevel="0" collapsed="false">
      <c r="B378" s="7" t="s">
        <v>1516</v>
      </c>
      <c r="C378" s="7" t="s">
        <v>2218</v>
      </c>
      <c r="D378" s="7" t="s">
        <v>2219</v>
      </c>
      <c r="E378" s="7" t="s">
        <v>1519</v>
      </c>
      <c r="F378" s="8" t="n">
        <v>4.92</v>
      </c>
      <c r="G378" s="14" t="n">
        <v>10</v>
      </c>
      <c r="H378" s="7" t="s">
        <v>71</v>
      </c>
      <c r="I378" s="7" t="s">
        <v>1538</v>
      </c>
    </row>
    <row r="379" customFormat="false" ht="21.75" hidden="false" customHeight="true" outlineLevel="0" collapsed="false">
      <c r="B379" s="4" t="s">
        <v>1516</v>
      </c>
      <c r="C379" s="4" t="s">
        <v>2220</v>
      </c>
      <c r="D379" s="4" t="s">
        <v>2221</v>
      </c>
      <c r="E379" s="4" t="s">
        <v>1519</v>
      </c>
      <c r="F379" s="5" t="n">
        <v>4.54</v>
      </c>
      <c r="G379" s="13" t="n">
        <v>25</v>
      </c>
      <c r="H379" s="4" t="s">
        <v>71</v>
      </c>
      <c r="I379" s="4" t="s">
        <v>1538</v>
      </c>
    </row>
    <row r="380" customFormat="false" ht="21.75" hidden="false" customHeight="true" outlineLevel="0" collapsed="false">
      <c r="B380" s="7" t="s">
        <v>1516</v>
      </c>
      <c r="C380" s="7" t="s">
        <v>2222</v>
      </c>
      <c r="D380" s="7" t="s">
        <v>2223</v>
      </c>
      <c r="E380" s="7" t="s">
        <v>1519</v>
      </c>
      <c r="F380" s="8" t="n">
        <v>0.35</v>
      </c>
      <c r="G380" s="14" t="n">
        <v>0</v>
      </c>
      <c r="H380" s="7" t="s">
        <v>84</v>
      </c>
      <c r="I380" s="7" t="s">
        <v>2224</v>
      </c>
    </row>
    <row r="381" customFormat="false" ht="21.75" hidden="false" customHeight="true" outlineLevel="0" collapsed="false">
      <c r="B381" s="4" t="s">
        <v>1516</v>
      </c>
      <c r="C381" s="4" t="s">
        <v>2225</v>
      </c>
      <c r="D381" s="4" t="s">
        <v>2226</v>
      </c>
      <c r="E381" s="4" t="s">
        <v>1519</v>
      </c>
      <c r="F381" s="5" t="n">
        <v>15.96</v>
      </c>
      <c r="G381" s="13" t="n">
        <v>0</v>
      </c>
      <c r="H381" s="4" t="s">
        <v>84</v>
      </c>
      <c r="I381" s="4" t="s">
        <v>1641</v>
      </c>
    </row>
    <row r="382" customFormat="false" ht="21.75" hidden="false" customHeight="true" outlineLevel="0" collapsed="false">
      <c r="B382" s="7" t="s">
        <v>1516</v>
      </c>
      <c r="C382" s="7" t="s">
        <v>2227</v>
      </c>
      <c r="D382" s="7" t="s">
        <v>2228</v>
      </c>
      <c r="E382" s="7" t="s">
        <v>1519</v>
      </c>
      <c r="F382" s="8" t="n">
        <v>22.82</v>
      </c>
      <c r="G382" s="14" t="n">
        <v>10</v>
      </c>
      <c r="H382" s="7" t="s">
        <v>71</v>
      </c>
      <c r="I382" s="7" t="s">
        <v>2229</v>
      </c>
    </row>
    <row r="383" customFormat="false" ht="21.75" hidden="false" customHeight="true" outlineLevel="0" collapsed="false">
      <c r="B383" s="4" t="s">
        <v>1516</v>
      </c>
      <c r="C383" s="4" t="s">
        <v>2230</v>
      </c>
      <c r="D383" s="4" t="s">
        <v>2231</v>
      </c>
      <c r="E383" s="4" t="s">
        <v>1519</v>
      </c>
      <c r="F383" s="5" t="n">
        <v>7.58</v>
      </c>
      <c r="G383" s="13" t="n">
        <v>12</v>
      </c>
      <c r="H383" s="4" t="s">
        <v>71</v>
      </c>
      <c r="I383" s="4" t="s">
        <v>1993</v>
      </c>
    </row>
    <row r="384" customFormat="false" ht="21.75" hidden="false" customHeight="true" outlineLevel="0" collapsed="false">
      <c r="B384" s="7" t="s">
        <v>1516</v>
      </c>
      <c r="C384" s="7" t="s">
        <v>2232</v>
      </c>
      <c r="D384" s="7" t="s">
        <v>2233</v>
      </c>
      <c r="E384" s="7" t="s">
        <v>1519</v>
      </c>
      <c r="F384" s="8" t="n">
        <v>4.16</v>
      </c>
      <c r="G384" s="14" t="n">
        <v>14</v>
      </c>
      <c r="H384" s="7" t="s">
        <v>71</v>
      </c>
      <c r="I384" s="7" t="s">
        <v>2234</v>
      </c>
    </row>
    <row r="385" customFormat="false" ht="21.75" hidden="false" customHeight="true" outlineLevel="0" collapsed="false">
      <c r="B385" s="4" t="s">
        <v>1516</v>
      </c>
      <c r="C385" s="4" t="s">
        <v>2235</v>
      </c>
      <c r="D385" s="4" t="s">
        <v>2236</v>
      </c>
      <c r="E385" s="4" t="s">
        <v>1519</v>
      </c>
      <c r="F385" s="5" t="n">
        <v>7.58</v>
      </c>
      <c r="G385" s="13" t="n">
        <v>14</v>
      </c>
      <c r="H385" s="4" t="s">
        <v>71</v>
      </c>
      <c r="I385" s="4" t="s">
        <v>2237</v>
      </c>
    </row>
    <row r="386" customFormat="false" ht="21.75" hidden="false" customHeight="true" outlineLevel="0" collapsed="false">
      <c r="B386" s="7" t="s">
        <v>1516</v>
      </c>
      <c r="C386" s="7" t="s">
        <v>2238</v>
      </c>
      <c r="D386" s="7" t="s">
        <v>2239</v>
      </c>
      <c r="E386" s="7" t="s">
        <v>1519</v>
      </c>
      <c r="F386" s="8" t="n">
        <v>0.35</v>
      </c>
      <c r="G386" s="14" t="n">
        <v>355</v>
      </c>
      <c r="H386" s="7" t="s">
        <v>71</v>
      </c>
      <c r="I386" s="7" t="s">
        <v>2240</v>
      </c>
    </row>
    <row r="387" customFormat="false" ht="21.75" hidden="false" customHeight="true" outlineLevel="0" collapsed="false">
      <c r="B387" s="4" t="s">
        <v>1516</v>
      </c>
      <c r="C387" s="4" t="s">
        <v>2241</v>
      </c>
      <c r="D387" s="4" t="s">
        <v>2242</v>
      </c>
      <c r="E387" s="4" t="s">
        <v>1519</v>
      </c>
      <c r="F387" s="5" t="n">
        <v>0.04</v>
      </c>
      <c r="G387" s="13" t="n">
        <v>6921</v>
      </c>
      <c r="H387" s="4" t="s">
        <v>71</v>
      </c>
      <c r="I387" s="4" t="s">
        <v>2243</v>
      </c>
    </row>
    <row r="388" customFormat="false" ht="21.75" hidden="false" customHeight="true" outlineLevel="0" collapsed="false">
      <c r="B388" s="7" t="s">
        <v>1516</v>
      </c>
      <c r="C388" s="7" t="s">
        <v>2244</v>
      </c>
      <c r="D388" s="7" t="s">
        <v>2245</v>
      </c>
      <c r="E388" s="7" t="s">
        <v>1519</v>
      </c>
      <c r="F388" s="8" t="n">
        <v>1.49</v>
      </c>
      <c r="G388" s="14" t="n">
        <v>4</v>
      </c>
      <c r="H388" s="7" t="s">
        <v>71</v>
      </c>
      <c r="I388" s="7" t="s">
        <v>1849</v>
      </c>
    </row>
    <row r="389" customFormat="false" ht="21.75" hidden="false" customHeight="true" outlineLevel="0" collapsed="false">
      <c r="B389" s="4" t="s">
        <v>1516</v>
      </c>
      <c r="C389" s="4" t="s">
        <v>2246</v>
      </c>
      <c r="D389" s="4" t="s">
        <v>2247</v>
      </c>
      <c r="E389" s="4" t="s">
        <v>1519</v>
      </c>
      <c r="F389" s="5" t="n">
        <v>5.68</v>
      </c>
      <c r="G389" s="13" t="n">
        <v>0</v>
      </c>
      <c r="H389" s="4" t="s">
        <v>84</v>
      </c>
      <c r="I389" s="4" t="s">
        <v>2248</v>
      </c>
    </row>
    <row r="390" customFormat="false" ht="21.75" hidden="false" customHeight="true" outlineLevel="0" collapsed="false">
      <c r="B390" s="7" t="s">
        <v>1516</v>
      </c>
      <c r="C390" s="7" t="s">
        <v>2249</v>
      </c>
      <c r="D390" s="7" t="s">
        <v>2250</v>
      </c>
      <c r="E390" s="7" t="s">
        <v>1519</v>
      </c>
      <c r="F390" s="8" t="n">
        <v>7.2</v>
      </c>
      <c r="G390" s="14" t="n">
        <v>0</v>
      </c>
      <c r="H390" s="7" t="s">
        <v>84</v>
      </c>
      <c r="I390" s="7" t="s">
        <v>1773</v>
      </c>
    </row>
    <row r="391" customFormat="false" ht="21.75" hidden="false" customHeight="true" outlineLevel="0" collapsed="false">
      <c r="B391" s="4" t="s">
        <v>1516</v>
      </c>
      <c r="C391" s="4" t="s">
        <v>2251</v>
      </c>
      <c r="D391" s="4" t="s">
        <v>566</v>
      </c>
      <c r="E391" s="4" t="s">
        <v>1519</v>
      </c>
      <c r="F391" s="5" t="n">
        <v>1.49</v>
      </c>
      <c r="G391" s="13" t="n">
        <v>4</v>
      </c>
      <c r="H391" s="4" t="s">
        <v>71</v>
      </c>
      <c r="I391" s="4" t="s">
        <v>1891</v>
      </c>
    </row>
    <row r="392" customFormat="false" ht="21.75" hidden="false" customHeight="true" outlineLevel="0" collapsed="false">
      <c r="B392" s="7" t="s">
        <v>1516</v>
      </c>
      <c r="C392" s="7" t="s">
        <v>2252</v>
      </c>
      <c r="D392" s="7" t="s">
        <v>560</v>
      </c>
      <c r="E392" s="7" t="s">
        <v>1565</v>
      </c>
      <c r="F392" s="8" t="n">
        <v>7.2</v>
      </c>
      <c r="G392" s="14" t="n">
        <v>74</v>
      </c>
      <c r="H392" s="7" t="s">
        <v>71</v>
      </c>
      <c r="I392" s="7" t="s">
        <v>1538</v>
      </c>
    </row>
    <row r="393" customFormat="false" ht="21.75" hidden="false" customHeight="true" outlineLevel="0" collapsed="false">
      <c r="B393" s="4" t="s">
        <v>1516</v>
      </c>
      <c r="C393" s="4" t="s">
        <v>2253</v>
      </c>
      <c r="D393" s="4" t="s">
        <v>563</v>
      </c>
      <c r="E393" s="4" t="s">
        <v>1565</v>
      </c>
      <c r="F393" s="5" t="n">
        <v>9.49</v>
      </c>
      <c r="G393" s="13" t="n">
        <v>55</v>
      </c>
      <c r="H393" s="4" t="s">
        <v>71</v>
      </c>
      <c r="I393" s="4" t="s">
        <v>1538</v>
      </c>
    </row>
    <row r="394" customFormat="false" ht="21.75" hidden="false" customHeight="true" outlineLevel="0" collapsed="false">
      <c r="B394" s="7" t="s">
        <v>1516</v>
      </c>
      <c r="C394" s="7" t="s">
        <v>2254</v>
      </c>
      <c r="D394" s="7" t="s">
        <v>569</v>
      </c>
      <c r="E394" s="7" t="s">
        <v>1565</v>
      </c>
      <c r="F394" s="8" t="n">
        <v>4.92</v>
      </c>
      <c r="G394" s="14" t="n">
        <v>129</v>
      </c>
      <c r="H394" s="7" t="s">
        <v>71</v>
      </c>
      <c r="I394" s="7" t="s">
        <v>1538</v>
      </c>
    </row>
    <row r="395" customFormat="false" ht="21.75" hidden="false" customHeight="true" outlineLevel="0" collapsed="false">
      <c r="B395" s="4" t="s">
        <v>1516</v>
      </c>
      <c r="C395" s="4" t="s">
        <v>2255</v>
      </c>
      <c r="D395" s="4" t="s">
        <v>2256</v>
      </c>
      <c r="E395" s="4" t="s">
        <v>1565</v>
      </c>
      <c r="F395" s="5" t="n">
        <v>15.45</v>
      </c>
      <c r="G395" s="13"/>
      <c r="H395" s="4" t="s">
        <v>84</v>
      </c>
      <c r="I395" s="4" t="s">
        <v>1538</v>
      </c>
    </row>
    <row r="396" customFormat="false" ht="21.75" hidden="false" customHeight="true" outlineLevel="0" collapsed="false">
      <c r="B396" s="7" t="s">
        <v>1516</v>
      </c>
      <c r="C396" s="7" t="s">
        <v>2257</v>
      </c>
      <c r="D396" s="7" t="s">
        <v>2258</v>
      </c>
      <c r="E396" s="7" t="s">
        <v>1565</v>
      </c>
      <c r="F396" s="8" t="n">
        <v>38.35</v>
      </c>
      <c r="G396" s="14"/>
      <c r="H396" s="7" t="s">
        <v>84</v>
      </c>
      <c r="I396" s="7" t="s">
        <v>1538</v>
      </c>
    </row>
    <row r="397" customFormat="false" ht="21.75" hidden="false" customHeight="true" outlineLevel="0" collapsed="false">
      <c r="B397" s="4" t="s">
        <v>1516</v>
      </c>
      <c r="C397" s="4" t="s">
        <v>2259</v>
      </c>
      <c r="D397" s="4" t="s">
        <v>2260</v>
      </c>
      <c r="E397" s="4" t="s">
        <v>1565</v>
      </c>
      <c r="F397" s="5" t="n">
        <v>30.99</v>
      </c>
      <c r="G397" s="13"/>
      <c r="H397" s="4" t="s">
        <v>84</v>
      </c>
      <c r="I397" s="4" t="s">
        <v>1538</v>
      </c>
    </row>
    <row r="398" customFormat="false" ht="21.75" hidden="false" customHeight="true" outlineLevel="0" collapsed="false">
      <c r="B398" s="7" t="s">
        <v>1516</v>
      </c>
      <c r="C398" s="7" t="s">
        <v>2261</v>
      </c>
      <c r="D398" s="7" t="s">
        <v>2262</v>
      </c>
      <c r="E398" s="7" t="s">
        <v>1565</v>
      </c>
      <c r="F398" s="8" t="n">
        <v>15.48</v>
      </c>
      <c r="G398" s="14"/>
      <c r="H398" s="7" t="s">
        <v>84</v>
      </c>
      <c r="I398" s="7" t="s">
        <v>1538</v>
      </c>
    </row>
    <row r="399" customFormat="false" ht="21.75" hidden="false" customHeight="true" outlineLevel="0" collapsed="false">
      <c r="B399" s="4" t="s">
        <v>1516</v>
      </c>
      <c r="C399" s="4" t="s">
        <v>2263</v>
      </c>
      <c r="D399" s="4" t="s">
        <v>2264</v>
      </c>
      <c r="E399" s="4" t="s">
        <v>1565</v>
      </c>
      <c r="F399" s="5" t="n">
        <v>15.42</v>
      </c>
      <c r="G399" s="13"/>
      <c r="H399" s="4" t="s">
        <v>84</v>
      </c>
      <c r="I399" s="4" t="s">
        <v>1538</v>
      </c>
    </row>
    <row r="400" customFormat="false" ht="21.75" hidden="false" customHeight="true" outlineLevel="0" collapsed="false">
      <c r="B400" s="7" t="s">
        <v>1516</v>
      </c>
      <c r="C400" s="7" t="s">
        <v>2265</v>
      </c>
      <c r="D400" s="7" t="s">
        <v>2266</v>
      </c>
      <c r="E400" s="7" t="s">
        <v>1565</v>
      </c>
      <c r="F400" s="8" t="n">
        <v>38.73</v>
      </c>
      <c r="G400" s="14"/>
      <c r="H400" s="7" t="s">
        <v>84</v>
      </c>
      <c r="I400" s="7" t="s">
        <v>1538</v>
      </c>
    </row>
    <row r="401" customFormat="false" ht="21.75" hidden="false" customHeight="true" outlineLevel="0" collapsed="false">
      <c r="B401" s="4" t="s">
        <v>1516</v>
      </c>
      <c r="C401" s="4" t="s">
        <v>2267</v>
      </c>
      <c r="D401" s="4" t="s">
        <v>164</v>
      </c>
      <c r="E401" s="4" t="s">
        <v>1519</v>
      </c>
      <c r="F401" s="5" t="n">
        <v>12.69</v>
      </c>
      <c r="G401" s="13" t="n">
        <v>8</v>
      </c>
      <c r="H401" s="4" t="s">
        <v>71</v>
      </c>
      <c r="I401" s="4" t="s">
        <v>2138</v>
      </c>
    </row>
    <row r="402" customFormat="false" ht="21.75" hidden="false" customHeight="true" outlineLevel="0" collapsed="false">
      <c r="B402" s="7" t="s">
        <v>1516</v>
      </c>
      <c r="C402" s="7" t="s">
        <v>2268</v>
      </c>
      <c r="D402" s="7" t="s">
        <v>2269</v>
      </c>
      <c r="E402" s="7" t="s">
        <v>1565</v>
      </c>
      <c r="F402" s="8" t="n">
        <v>27.1</v>
      </c>
      <c r="G402" s="14"/>
      <c r="H402" s="7" t="s">
        <v>84</v>
      </c>
      <c r="I402" s="7" t="s">
        <v>1538</v>
      </c>
    </row>
    <row r="403" customFormat="false" ht="21.75" hidden="false" customHeight="true" outlineLevel="0" collapsed="false">
      <c r="B403" s="4" t="s">
        <v>1516</v>
      </c>
      <c r="C403" s="4" t="s">
        <v>2270</v>
      </c>
      <c r="D403" s="4" t="s">
        <v>907</v>
      </c>
      <c r="E403" s="4" t="s">
        <v>1519</v>
      </c>
      <c r="F403" s="5" t="n">
        <v>7.58</v>
      </c>
      <c r="G403" s="13" t="n">
        <v>38</v>
      </c>
      <c r="H403" s="4" t="s">
        <v>71</v>
      </c>
      <c r="I403" s="4" t="s">
        <v>2271</v>
      </c>
    </row>
    <row r="404" customFormat="false" ht="21.75" hidden="false" customHeight="true" outlineLevel="0" collapsed="false">
      <c r="B404" s="7" t="s">
        <v>1516</v>
      </c>
      <c r="C404" s="7" t="s">
        <v>2272</v>
      </c>
      <c r="D404" s="7" t="s">
        <v>2273</v>
      </c>
      <c r="E404" s="7" t="s">
        <v>1519</v>
      </c>
      <c r="F404" s="8" t="n">
        <v>7.58</v>
      </c>
      <c r="G404" s="14" t="n">
        <v>0</v>
      </c>
      <c r="H404" s="7" t="s">
        <v>84</v>
      </c>
      <c r="I404" s="7" t="s">
        <v>1529</v>
      </c>
    </row>
    <row r="405" customFormat="false" ht="21.75" hidden="false" customHeight="true" outlineLevel="0" collapsed="false">
      <c r="B405" s="4" t="s">
        <v>1516</v>
      </c>
      <c r="C405" s="4" t="s">
        <v>2274</v>
      </c>
      <c r="D405" s="4" t="s">
        <v>2275</v>
      </c>
      <c r="E405" s="4" t="s">
        <v>1519</v>
      </c>
      <c r="F405" s="5" t="n">
        <v>3.77</v>
      </c>
      <c r="G405" s="13" t="n">
        <v>0</v>
      </c>
      <c r="H405" s="4" t="s">
        <v>84</v>
      </c>
      <c r="I405" s="4" t="s">
        <v>1614</v>
      </c>
    </row>
    <row r="406" customFormat="false" ht="21.75" hidden="false" customHeight="true" outlineLevel="0" collapsed="false">
      <c r="B406" s="7" t="s">
        <v>1516</v>
      </c>
      <c r="C406" s="7" t="s">
        <v>2276</v>
      </c>
      <c r="D406" s="7" t="s">
        <v>2277</v>
      </c>
      <c r="E406" s="7" t="s">
        <v>1519</v>
      </c>
      <c r="F406" s="8" t="n">
        <v>1.11</v>
      </c>
      <c r="G406" s="14" t="n">
        <v>0</v>
      </c>
      <c r="H406" s="7" t="s">
        <v>84</v>
      </c>
      <c r="I406" s="7" t="s">
        <v>1614</v>
      </c>
    </row>
    <row r="407" customFormat="false" ht="21.75" hidden="false" customHeight="true" outlineLevel="0" collapsed="false">
      <c r="B407" s="4" t="s">
        <v>1516</v>
      </c>
      <c r="C407" s="4" t="s">
        <v>2278</v>
      </c>
      <c r="D407" s="4" t="s">
        <v>2279</v>
      </c>
      <c r="E407" s="4" t="s">
        <v>1519</v>
      </c>
      <c r="F407" s="5" t="n">
        <v>3.77</v>
      </c>
      <c r="G407" s="13" t="n">
        <v>0</v>
      </c>
      <c r="H407" s="4" t="s">
        <v>84</v>
      </c>
      <c r="I407" s="4" t="s">
        <v>2280</v>
      </c>
    </row>
    <row r="408" customFormat="false" ht="21.75" hidden="false" customHeight="true" outlineLevel="0" collapsed="false">
      <c r="B408" s="7" t="s">
        <v>1516</v>
      </c>
      <c r="C408" s="7" t="s">
        <v>2281</v>
      </c>
      <c r="D408" s="7" t="s">
        <v>2282</v>
      </c>
      <c r="E408" s="7" t="s">
        <v>1519</v>
      </c>
      <c r="F408" s="8" t="n">
        <v>1.87</v>
      </c>
      <c r="G408" s="14" t="n">
        <v>6</v>
      </c>
      <c r="H408" s="7" t="s">
        <v>71</v>
      </c>
      <c r="I408" s="7" t="s">
        <v>2224</v>
      </c>
    </row>
    <row r="409" customFormat="false" ht="21.75" hidden="false" customHeight="true" outlineLevel="0" collapsed="false">
      <c r="B409" s="4" t="s">
        <v>1516</v>
      </c>
      <c r="C409" s="4" t="s">
        <v>2283</v>
      </c>
      <c r="D409" s="4" t="s">
        <v>2284</v>
      </c>
      <c r="E409" s="4" t="s">
        <v>1565</v>
      </c>
      <c r="F409" s="5" t="n">
        <v>11.39</v>
      </c>
      <c r="G409" s="13" t="n">
        <v>100</v>
      </c>
      <c r="H409" s="4" t="s">
        <v>71</v>
      </c>
      <c r="I409" s="4" t="s">
        <v>1538</v>
      </c>
    </row>
    <row r="410" customFormat="false" ht="21.75" hidden="false" customHeight="true" outlineLevel="0" collapsed="false">
      <c r="B410" s="7" t="s">
        <v>1516</v>
      </c>
      <c r="C410" s="7" t="s">
        <v>2285</v>
      </c>
      <c r="D410" s="7" t="s">
        <v>2286</v>
      </c>
      <c r="E410" s="7" t="s">
        <v>1519</v>
      </c>
      <c r="F410" s="8" t="n">
        <v>3.39</v>
      </c>
      <c r="G410" s="14" t="n">
        <v>0</v>
      </c>
      <c r="H410" s="7" t="s">
        <v>84</v>
      </c>
      <c r="I410" s="7" t="s">
        <v>2287</v>
      </c>
    </row>
    <row r="411" customFormat="false" ht="21.75" hidden="false" customHeight="true" outlineLevel="0" collapsed="false">
      <c r="B411" s="4" t="s">
        <v>1516</v>
      </c>
      <c r="C411" s="4" t="s">
        <v>2288</v>
      </c>
      <c r="D411" s="4" t="s">
        <v>868</v>
      </c>
      <c r="E411" s="4" t="s">
        <v>1537</v>
      </c>
      <c r="F411" s="5" t="n">
        <v>8.34</v>
      </c>
      <c r="G411" s="13" t="n">
        <v>10</v>
      </c>
      <c r="H411" s="4" t="s">
        <v>71</v>
      </c>
      <c r="I411" s="4" t="s">
        <v>1591</v>
      </c>
    </row>
    <row r="412" customFormat="false" ht="21.75" hidden="false" customHeight="true" outlineLevel="0" collapsed="false">
      <c r="B412" s="7" t="s">
        <v>1516</v>
      </c>
      <c r="C412" s="7" t="s">
        <v>2289</v>
      </c>
      <c r="D412" s="7" t="s">
        <v>2290</v>
      </c>
      <c r="E412" s="7" t="s">
        <v>1519</v>
      </c>
      <c r="F412" s="8" t="n">
        <v>19.77</v>
      </c>
      <c r="G412" s="14" t="n">
        <v>0</v>
      </c>
      <c r="H412" s="7" t="s">
        <v>84</v>
      </c>
      <c r="I412" s="7" t="s">
        <v>2291</v>
      </c>
    </row>
    <row r="413" customFormat="false" ht="21.75" hidden="false" customHeight="true" outlineLevel="0" collapsed="false">
      <c r="B413" s="4" t="s">
        <v>1516</v>
      </c>
      <c r="C413" s="4" t="s">
        <v>2292</v>
      </c>
      <c r="D413" s="4" t="s">
        <v>2293</v>
      </c>
      <c r="E413" s="4" t="s">
        <v>1519</v>
      </c>
      <c r="F413" s="5" t="n">
        <v>22.82</v>
      </c>
      <c r="G413" s="13" t="n">
        <v>0</v>
      </c>
      <c r="H413" s="4" t="s">
        <v>84</v>
      </c>
      <c r="I413" s="4" t="s">
        <v>2054</v>
      </c>
    </row>
    <row r="414" customFormat="false" ht="21.75" hidden="false" customHeight="true" outlineLevel="0" collapsed="false">
      <c r="B414" s="7" t="s">
        <v>1516</v>
      </c>
      <c r="C414" s="7" t="s">
        <v>2294</v>
      </c>
      <c r="D414" s="7" t="s">
        <v>2295</v>
      </c>
      <c r="E414" s="7" t="s">
        <v>1519</v>
      </c>
      <c r="F414" s="8" t="n">
        <v>19.01</v>
      </c>
      <c r="G414" s="14" t="n">
        <v>22</v>
      </c>
      <c r="H414" s="7" t="s">
        <v>71</v>
      </c>
      <c r="I414" s="7" t="s">
        <v>2296</v>
      </c>
    </row>
    <row r="415" customFormat="false" ht="21.75" hidden="false" customHeight="true" outlineLevel="0" collapsed="false">
      <c r="B415" s="4" t="s">
        <v>1516</v>
      </c>
      <c r="C415" s="4" t="s">
        <v>2297</v>
      </c>
      <c r="D415" s="4" t="s">
        <v>2298</v>
      </c>
      <c r="E415" s="4" t="s">
        <v>1519</v>
      </c>
      <c r="F415" s="5" t="n">
        <v>1.49</v>
      </c>
      <c r="G415" s="13" t="n">
        <v>3</v>
      </c>
      <c r="H415" s="4" t="s">
        <v>71</v>
      </c>
      <c r="I415" s="4" t="s">
        <v>1936</v>
      </c>
    </row>
    <row r="416" customFormat="false" ht="21.75" hidden="false" customHeight="true" outlineLevel="0" collapsed="false">
      <c r="B416" s="7" t="s">
        <v>1516</v>
      </c>
      <c r="C416" s="7" t="s">
        <v>2299</v>
      </c>
      <c r="D416" s="7" t="s">
        <v>2300</v>
      </c>
      <c r="E416" s="7" t="s">
        <v>1519</v>
      </c>
      <c r="F416" s="8" t="n">
        <v>8.73</v>
      </c>
      <c r="G416" s="14" t="n">
        <v>0</v>
      </c>
      <c r="H416" s="7" t="s">
        <v>84</v>
      </c>
      <c r="I416" s="7" t="s">
        <v>1975</v>
      </c>
    </row>
    <row r="417" customFormat="false" ht="21.75" hidden="false" customHeight="true" outlineLevel="0" collapsed="false">
      <c r="B417" s="4" t="s">
        <v>1516</v>
      </c>
      <c r="C417" s="4" t="s">
        <v>2301</v>
      </c>
      <c r="D417" s="4" t="s">
        <v>2302</v>
      </c>
      <c r="E417" s="4" t="s">
        <v>1519</v>
      </c>
      <c r="F417" s="5" t="n">
        <v>38.05</v>
      </c>
      <c r="G417" s="13" t="n">
        <v>6</v>
      </c>
      <c r="H417" s="4" t="s">
        <v>71</v>
      </c>
      <c r="I417" s="4" t="s">
        <v>1659</v>
      </c>
    </row>
    <row r="418" customFormat="false" ht="21.75" hidden="false" customHeight="true" outlineLevel="0" collapsed="false">
      <c r="B418" s="7" t="s">
        <v>1516</v>
      </c>
      <c r="C418" s="7" t="s">
        <v>2303</v>
      </c>
      <c r="D418" s="7" t="s">
        <v>2304</v>
      </c>
      <c r="E418" s="7" t="s">
        <v>1519</v>
      </c>
      <c r="F418" s="8" t="n">
        <v>0.73</v>
      </c>
      <c r="G418" s="14" t="n">
        <v>0</v>
      </c>
      <c r="H418" s="7" t="s">
        <v>84</v>
      </c>
      <c r="I418" s="7" t="s">
        <v>1891</v>
      </c>
    </row>
    <row r="419" customFormat="false" ht="21.75" hidden="false" customHeight="true" outlineLevel="0" collapsed="false">
      <c r="B419" s="4" t="s">
        <v>1516</v>
      </c>
      <c r="C419" s="4" t="s">
        <v>2305</v>
      </c>
      <c r="D419" s="4" t="s">
        <v>2306</v>
      </c>
      <c r="E419" s="4" t="s">
        <v>1519</v>
      </c>
      <c r="F419" s="5" t="n">
        <v>0.73</v>
      </c>
      <c r="G419" s="13" t="n">
        <v>30</v>
      </c>
      <c r="H419" s="4" t="s">
        <v>71</v>
      </c>
      <c r="I419" s="4" t="s">
        <v>1679</v>
      </c>
    </row>
    <row r="420" customFormat="false" ht="21.75" hidden="false" customHeight="true" outlineLevel="0" collapsed="false">
      <c r="B420" s="7" t="s">
        <v>1516</v>
      </c>
      <c r="C420" s="7" t="s">
        <v>2307</v>
      </c>
      <c r="D420" s="7" t="s">
        <v>2308</v>
      </c>
      <c r="E420" s="7" t="s">
        <v>1519</v>
      </c>
      <c r="F420" s="8" t="n">
        <v>1.11</v>
      </c>
      <c r="G420" s="14" t="n">
        <v>6</v>
      </c>
      <c r="H420" s="7" t="s">
        <v>71</v>
      </c>
      <c r="I420" s="7" t="s">
        <v>2309</v>
      </c>
    </row>
    <row r="421" customFormat="false" ht="21.75" hidden="false" customHeight="true" outlineLevel="0" collapsed="false">
      <c r="B421" s="4" t="s">
        <v>1516</v>
      </c>
      <c r="C421" s="4" t="s">
        <v>2310</v>
      </c>
      <c r="D421" s="4" t="s">
        <v>2311</v>
      </c>
      <c r="E421" s="4" t="s">
        <v>1519</v>
      </c>
      <c r="F421" s="5" t="n">
        <v>1.11</v>
      </c>
      <c r="G421" s="13" t="n">
        <v>2</v>
      </c>
      <c r="H421" s="4" t="s">
        <v>71</v>
      </c>
      <c r="I421" s="4" t="s">
        <v>2312</v>
      </c>
    </row>
    <row r="422" customFormat="false" ht="21.75" hidden="false" customHeight="true" outlineLevel="0" collapsed="false">
      <c r="B422" s="7" t="s">
        <v>1516</v>
      </c>
      <c r="C422" s="7" t="s">
        <v>2313</v>
      </c>
      <c r="D422" s="7" t="s">
        <v>2314</v>
      </c>
      <c r="E422" s="7" t="s">
        <v>1519</v>
      </c>
      <c r="F422" s="8" t="n">
        <v>2.25</v>
      </c>
      <c r="G422" s="14" t="n">
        <v>0</v>
      </c>
      <c r="H422" s="7" t="s">
        <v>84</v>
      </c>
      <c r="I422" s="7" t="s">
        <v>2315</v>
      </c>
    </row>
    <row r="423" customFormat="false" ht="21.75" hidden="false" customHeight="true" outlineLevel="0" collapsed="false">
      <c r="B423" s="4" t="s">
        <v>1516</v>
      </c>
      <c r="C423" s="4" t="s">
        <v>2316</v>
      </c>
      <c r="D423" s="4" t="s">
        <v>2317</v>
      </c>
      <c r="E423" s="4" t="s">
        <v>1519</v>
      </c>
      <c r="F423" s="5" t="n">
        <v>1.11</v>
      </c>
      <c r="G423" s="13" t="n">
        <v>8</v>
      </c>
      <c r="H423" s="4" t="s">
        <v>71</v>
      </c>
      <c r="I423" s="4" t="s">
        <v>2318</v>
      </c>
    </row>
    <row r="424" customFormat="false" ht="21.75" hidden="false" customHeight="true" outlineLevel="0" collapsed="false">
      <c r="B424" s="7" t="s">
        <v>1516</v>
      </c>
      <c r="C424" s="7" t="s">
        <v>2319</v>
      </c>
      <c r="D424" s="7" t="s">
        <v>484</v>
      </c>
      <c r="E424" s="7" t="s">
        <v>1519</v>
      </c>
      <c r="F424" s="8" t="n">
        <v>1.12</v>
      </c>
      <c r="G424" s="14" t="n">
        <v>51</v>
      </c>
      <c r="H424" s="7" t="s">
        <v>71</v>
      </c>
      <c r="I424" s="7" t="s">
        <v>1891</v>
      </c>
    </row>
    <row r="425" customFormat="false" ht="21.75" hidden="false" customHeight="true" outlineLevel="0" collapsed="false">
      <c r="B425" s="4" t="s">
        <v>1516</v>
      </c>
      <c r="C425" s="4" t="s">
        <v>2320</v>
      </c>
      <c r="D425" s="4" t="s">
        <v>490</v>
      </c>
      <c r="E425" s="4" t="s">
        <v>1519</v>
      </c>
      <c r="F425" s="5" t="n">
        <v>1.89</v>
      </c>
      <c r="G425" s="13" t="n">
        <v>40</v>
      </c>
      <c r="H425" s="4" t="s">
        <v>71</v>
      </c>
      <c r="I425" s="4" t="s">
        <v>1634</v>
      </c>
    </row>
    <row r="426" customFormat="false" ht="21.75" hidden="false" customHeight="true" outlineLevel="0" collapsed="false">
      <c r="B426" s="7" t="s">
        <v>1516</v>
      </c>
      <c r="C426" s="7" t="s">
        <v>2321</v>
      </c>
      <c r="D426" s="7" t="s">
        <v>492</v>
      </c>
      <c r="E426" s="7" t="s">
        <v>1519</v>
      </c>
      <c r="F426" s="8" t="n">
        <v>3.04</v>
      </c>
      <c r="G426" s="14" t="n">
        <v>66</v>
      </c>
      <c r="H426" s="7" t="s">
        <v>71</v>
      </c>
      <c r="I426" s="7" t="s">
        <v>1614</v>
      </c>
    </row>
    <row r="427" customFormat="false" ht="21.75" hidden="false" customHeight="true" outlineLevel="0" collapsed="false">
      <c r="B427" s="4" t="s">
        <v>1516</v>
      </c>
      <c r="C427" s="4" t="s">
        <v>2322</v>
      </c>
      <c r="D427" s="4" t="s">
        <v>488</v>
      </c>
      <c r="E427" s="4" t="s">
        <v>1519</v>
      </c>
      <c r="F427" s="5" t="n">
        <v>4.97</v>
      </c>
      <c r="G427" s="13" t="n">
        <v>63</v>
      </c>
      <c r="H427" s="4" t="s">
        <v>71</v>
      </c>
      <c r="I427" s="4" t="s">
        <v>2323</v>
      </c>
    </row>
    <row r="428" customFormat="false" ht="21.75" hidden="false" customHeight="true" outlineLevel="0" collapsed="false">
      <c r="B428" s="7" t="s">
        <v>1516</v>
      </c>
      <c r="C428" s="7" t="s">
        <v>2324</v>
      </c>
      <c r="D428" s="7" t="s">
        <v>2325</v>
      </c>
      <c r="E428" s="7" t="s">
        <v>1519</v>
      </c>
      <c r="F428" s="8" t="n">
        <v>1.12</v>
      </c>
      <c r="G428" s="14" t="n">
        <v>20</v>
      </c>
      <c r="H428" s="7" t="s">
        <v>71</v>
      </c>
      <c r="I428" s="7" t="s">
        <v>1538</v>
      </c>
    </row>
    <row r="429" customFormat="false" ht="21.75" hidden="false" customHeight="true" outlineLevel="0" collapsed="false">
      <c r="B429" s="4" t="s">
        <v>1516</v>
      </c>
      <c r="C429" s="4" t="s">
        <v>2326</v>
      </c>
      <c r="D429" s="4" t="s">
        <v>2327</v>
      </c>
      <c r="E429" s="4" t="s">
        <v>1519</v>
      </c>
      <c r="F429" s="5" t="n">
        <v>1.89</v>
      </c>
      <c r="G429" s="13" t="n">
        <v>19</v>
      </c>
      <c r="H429" s="4" t="s">
        <v>71</v>
      </c>
      <c r="I429" s="4" t="s">
        <v>1591</v>
      </c>
    </row>
    <row r="430" customFormat="false" ht="21.75" hidden="false" customHeight="true" outlineLevel="0" collapsed="false">
      <c r="B430" s="7" t="s">
        <v>1516</v>
      </c>
      <c r="C430" s="7" t="s">
        <v>2328</v>
      </c>
      <c r="D430" s="7" t="s">
        <v>2329</v>
      </c>
      <c r="E430" s="7" t="s">
        <v>1519</v>
      </c>
      <c r="F430" s="8" t="n">
        <v>3.04</v>
      </c>
      <c r="G430" s="14" t="n">
        <v>19</v>
      </c>
      <c r="H430" s="7" t="s">
        <v>71</v>
      </c>
      <c r="I430" s="7" t="s">
        <v>1591</v>
      </c>
    </row>
    <row r="431" customFormat="false" ht="21.75" hidden="false" customHeight="true" outlineLevel="0" collapsed="false">
      <c r="B431" s="4" t="s">
        <v>1516</v>
      </c>
      <c r="C431" s="4" t="s">
        <v>2330</v>
      </c>
      <c r="D431" s="4" t="s">
        <v>2331</v>
      </c>
      <c r="E431" s="4" t="s">
        <v>1519</v>
      </c>
      <c r="F431" s="5" t="n">
        <v>5.35</v>
      </c>
      <c r="G431" s="13" t="n">
        <v>20</v>
      </c>
      <c r="H431" s="4" t="s">
        <v>71</v>
      </c>
      <c r="I431" s="4" t="s">
        <v>1538</v>
      </c>
    </row>
    <row r="432" customFormat="false" ht="21.75" hidden="false" customHeight="true" outlineLevel="0" collapsed="false">
      <c r="B432" s="7" t="s">
        <v>1516</v>
      </c>
      <c r="C432" s="7" t="s">
        <v>2332</v>
      </c>
      <c r="D432" s="7" t="s">
        <v>2333</v>
      </c>
      <c r="E432" s="7" t="s">
        <v>1519</v>
      </c>
      <c r="F432" s="8" t="n">
        <v>3.77</v>
      </c>
      <c r="G432" s="14" t="n">
        <v>0</v>
      </c>
      <c r="H432" s="7" t="s">
        <v>84</v>
      </c>
      <c r="I432" s="7" t="s">
        <v>1617</v>
      </c>
    </row>
    <row r="433" customFormat="false" ht="21.75" hidden="false" customHeight="true" outlineLevel="0" collapsed="false">
      <c r="B433" s="4" t="s">
        <v>1516</v>
      </c>
      <c r="C433" s="4" t="s">
        <v>2334</v>
      </c>
      <c r="D433" s="4" t="s">
        <v>2335</v>
      </c>
      <c r="E433" s="4" t="s">
        <v>1519</v>
      </c>
      <c r="F433" s="5" t="n">
        <v>5.68</v>
      </c>
      <c r="G433" s="13" t="n">
        <v>5</v>
      </c>
      <c r="H433" s="4" t="s">
        <v>71</v>
      </c>
      <c r="I433" s="4" t="s">
        <v>2054</v>
      </c>
    </row>
    <row r="434" customFormat="false" ht="21.75" hidden="false" customHeight="true" outlineLevel="0" collapsed="false">
      <c r="B434" s="7" t="s">
        <v>1516</v>
      </c>
      <c r="C434" s="7" t="s">
        <v>2336</v>
      </c>
      <c r="D434" s="7" t="s">
        <v>2337</v>
      </c>
      <c r="E434" s="7" t="s">
        <v>1519</v>
      </c>
      <c r="F434" s="8" t="n">
        <v>30.43</v>
      </c>
      <c r="G434" s="14" t="n">
        <v>0</v>
      </c>
      <c r="H434" s="7" t="s">
        <v>84</v>
      </c>
      <c r="I434" s="7" t="s">
        <v>1907</v>
      </c>
    </row>
    <row r="435" customFormat="false" ht="21.75" hidden="false" customHeight="true" outlineLevel="0" collapsed="false">
      <c r="B435" s="4" t="s">
        <v>1516</v>
      </c>
      <c r="C435" s="4" t="s">
        <v>2338</v>
      </c>
      <c r="D435" s="4" t="s">
        <v>2339</v>
      </c>
      <c r="E435" s="4" t="s">
        <v>1565</v>
      </c>
      <c r="F435" s="5" t="n">
        <v>64.7</v>
      </c>
      <c r="G435" s="13" t="n">
        <v>8</v>
      </c>
      <c r="H435" s="4" t="s">
        <v>71</v>
      </c>
      <c r="I435" s="4" t="s">
        <v>1538</v>
      </c>
    </row>
    <row r="436" customFormat="false" ht="21.75" hidden="false" customHeight="true" outlineLevel="0" collapsed="false">
      <c r="B436" s="7" t="s">
        <v>1516</v>
      </c>
      <c r="C436" s="7" t="s">
        <v>2340</v>
      </c>
      <c r="D436" s="7" t="s">
        <v>530</v>
      </c>
      <c r="E436" s="7" t="s">
        <v>1519</v>
      </c>
      <c r="F436" s="8" t="n">
        <v>3.77</v>
      </c>
      <c r="G436" s="14" t="n">
        <v>43</v>
      </c>
      <c r="H436" s="7" t="s">
        <v>71</v>
      </c>
      <c r="I436" s="7" t="s">
        <v>1814</v>
      </c>
    </row>
    <row r="437" customFormat="false" ht="21.75" hidden="false" customHeight="true" outlineLevel="0" collapsed="false">
      <c r="B437" s="4" t="s">
        <v>1516</v>
      </c>
      <c r="C437" s="4" t="s">
        <v>2341</v>
      </c>
      <c r="D437" s="4" t="s">
        <v>877</v>
      </c>
      <c r="E437" s="4" t="s">
        <v>1519</v>
      </c>
      <c r="F437" s="5" t="n">
        <v>4.54</v>
      </c>
      <c r="G437" s="13" t="n">
        <v>3</v>
      </c>
      <c r="H437" s="4" t="s">
        <v>71</v>
      </c>
      <c r="I437" s="4" t="s">
        <v>2342</v>
      </c>
    </row>
    <row r="438" customFormat="false" ht="21.75" hidden="false" customHeight="true" outlineLevel="0" collapsed="false">
      <c r="B438" s="7" t="s">
        <v>1516</v>
      </c>
      <c r="C438" s="7" t="s">
        <v>2343</v>
      </c>
      <c r="D438" s="7" t="s">
        <v>880</v>
      </c>
      <c r="E438" s="7" t="s">
        <v>1519</v>
      </c>
      <c r="F438" s="8" t="n">
        <v>4.54</v>
      </c>
      <c r="G438" s="14" t="n">
        <v>6</v>
      </c>
      <c r="H438" s="7" t="s">
        <v>71</v>
      </c>
      <c r="I438" s="7" t="s">
        <v>1700</v>
      </c>
    </row>
    <row r="439" customFormat="false" ht="21.75" hidden="false" customHeight="true" outlineLevel="0" collapsed="false">
      <c r="B439" s="4" t="s">
        <v>1516</v>
      </c>
      <c r="C439" s="4" t="s">
        <v>2344</v>
      </c>
      <c r="D439" s="4" t="s">
        <v>731</v>
      </c>
      <c r="E439" s="4" t="s">
        <v>1519</v>
      </c>
      <c r="F439" s="5" t="n">
        <v>3.77</v>
      </c>
      <c r="G439" s="13" t="n">
        <v>7</v>
      </c>
      <c r="H439" s="4" t="s">
        <v>71</v>
      </c>
      <c r="I439" s="4" t="s">
        <v>2345</v>
      </c>
    </row>
    <row r="440" customFormat="false" ht="21.75" hidden="false" customHeight="true" outlineLevel="0" collapsed="false">
      <c r="B440" s="7" t="s">
        <v>2346</v>
      </c>
      <c r="C440" s="7" t="s">
        <v>2347</v>
      </c>
      <c r="D440" s="7" t="s">
        <v>2348</v>
      </c>
      <c r="E440" s="7"/>
      <c r="F440" s="8" t="n">
        <v>0.8</v>
      </c>
      <c r="G440" s="14" t="n">
        <v>6381</v>
      </c>
      <c r="H440" s="7" t="s">
        <v>71</v>
      </c>
      <c r="I440" s="7" t="s">
        <v>2349</v>
      </c>
    </row>
    <row r="441" customFormat="false" ht="21.75" hidden="false" customHeight="true" outlineLevel="0" collapsed="false">
      <c r="B441" s="4" t="s">
        <v>2346</v>
      </c>
      <c r="C441" s="4" t="s">
        <v>2350</v>
      </c>
      <c r="D441" s="4" t="s">
        <v>2351</v>
      </c>
      <c r="E441" s="4"/>
      <c r="F441" s="5" t="n">
        <v>2.15</v>
      </c>
      <c r="G441" s="13" t="n">
        <v>199</v>
      </c>
      <c r="H441" s="4" t="s">
        <v>71</v>
      </c>
      <c r="I441" s="4" t="s">
        <v>2352</v>
      </c>
    </row>
    <row r="442" customFormat="false" ht="21.75" hidden="false" customHeight="true" outlineLevel="0" collapsed="false">
      <c r="B442" s="7" t="s">
        <v>2346</v>
      </c>
      <c r="C442" s="7" t="s">
        <v>2353</v>
      </c>
      <c r="D442" s="7" t="s">
        <v>2354</v>
      </c>
      <c r="E442" s="7"/>
      <c r="F442" s="8" t="n">
        <v>6.5</v>
      </c>
      <c r="G442" s="14" t="n">
        <v>19</v>
      </c>
      <c r="H442" s="7" t="s">
        <v>71</v>
      </c>
      <c r="I442" s="7" t="s">
        <v>2355</v>
      </c>
    </row>
    <row r="443" customFormat="false" ht="21.75" hidden="false" customHeight="true" outlineLevel="0" collapsed="false">
      <c r="B443" s="4" t="s">
        <v>2346</v>
      </c>
      <c r="C443" s="4" t="s">
        <v>2356</v>
      </c>
      <c r="D443" s="4" t="s">
        <v>2357</v>
      </c>
      <c r="E443" s="4"/>
      <c r="F443" s="5" t="n">
        <v>1.85</v>
      </c>
      <c r="G443" s="13" t="n">
        <v>132</v>
      </c>
      <c r="H443" s="4" t="s">
        <v>71</v>
      </c>
      <c r="I443" s="4" t="s">
        <v>2358</v>
      </c>
    </row>
    <row r="444" customFormat="false" ht="21.75" hidden="false" customHeight="true" outlineLevel="0" collapsed="false">
      <c r="B444" s="7" t="s">
        <v>2346</v>
      </c>
      <c r="C444" s="7" t="s">
        <v>2359</v>
      </c>
      <c r="D444" s="7" t="s">
        <v>2360</v>
      </c>
      <c r="E444" s="7"/>
      <c r="F444" s="8" t="n">
        <v>0.3</v>
      </c>
      <c r="G444" s="14" t="n">
        <v>84</v>
      </c>
      <c r="H444" s="7" t="s">
        <v>71</v>
      </c>
      <c r="I444" s="7" t="s">
        <v>2361</v>
      </c>
    </row>
    <row r="445" customFormat="false" ht="21.75" hidden="false" customHeight="true" outlineLevel="0" collapsed="false">
      <c r="B445" s="4" t="s">
        <v>2346</v>
      </c>
      <c r="C445" s="4" t="s">
        <v>2362</v>
      </c>
      <c r="D445" s="4" t="s">
        <v>2363</v>
      </c>
      <c r="E445" s="4"/>
      <c r="F445" s="5" t="n">
        <v>0.75</v>
      </c>
      <c r="G445" s="13" t="n">
        <v>90</v>
      </c>
      <c r="H445" s="4" t="s">
        <v>71</v>
      </c>
      <c r="I445" s="4" t="s">
        <v>2364</v>
      </c>
    </row>
    <row r="446" customFormat="false" ht="21.75" hidden="false" customHeight="true" outlineLevel="0" collapsed="false">
      <c r="B446" s="7" t="s">
        <v>2346</v>
      </c>
      <c r="C446" s="7" t="s">
        <v>2365</v>
      </c>
      <c r="D446" s="7" t="s">
        <v>2366</v>
      </c>
      <c r="E446" s="7"/>
      <c r="F446" s="8" t="n">
        <v>0.25</v>
      </c>
      <c r="G446" s="14" t="n">
        <v>185</v>
      </c>
      <c r="H446" s="7" t="s">
        <v>71</v>
      </c>
      <c r="I446" s="7" t="s">
        <v>2367</v>
      </c>
    </row>
    <row r="447" customFormat="false" ht="21.75" hidden="false" customHeight="true" outlineLevel="0" collapsed="false">
      <c r="B447" s="4" t="s">
        <v>2346</v>
      </c>
      <c r="C447" s="4" t="s">
        <v>2368</v>
      </c>
      <c r="D447" s="4" t="s">
        <v>2369</v>
      </c>
      <c r="E447" s="4"/>
      <c r="F447" s="5" t="n">
        <v>0.55</v>
      </c>
      <c r="G447" s="13" t="n">
        <v>0</v>
      </c>
      <c r="H447" s="4" t="s">
        <v>84</v>
      </c>
      <c r="I447" s="4" t="s">
        <v>2370</v>
      </c>
    </row>
    <row r="448" customFormat="false" ht="21.75" hidden="false" customHeight="true" outlineLevel="0" collapsed="false">
      <c r="B448" s="7" t="s">
        <v>2346</v>
      </c>
      <c r="C448" s="7" t="s">
        <v>2371</v>
      </c>
      <c r="D448" s="7" t="s">
        <v>2372</v>
      </c>
      <c r="E448" s="7"/>
      <c r="F448" s="8" t="n">
        <v>13</v>
      </c>
      <c r="G448" s="14" t="n">
        <v>11</v>
      </c>
      <c r="H448" s="7" t="s">
        <v>71</v>
      </c>
      <c r="I448" s="7" t="s">
        <v>2373</v>
      </c>
    </row>
    <row r="449" customFormat="false" ht="21.75" hidden="false" customHeight="true" outlineLevel="0" collapsed="false">
      <c r="B449" s="4" t="s">
        <v>2346</v>
      </c>
      <c r="C449" s="4" t="s">
        <v>2374</v>
      </c>
      <c r="D449" s="4" t="s">
        <v>2375</v>
      </c>
      <c r="E449" s="4"/>
      <c r="F449" s="5" t="n">
        <v>1.1</v>
      </c>
      <c r="G449" s="13" t="n">
        <v>112</v>
      </c>
      <c r="H449" s="4" t="s">
        <v>71</v>
      </c>
      <c r="I449" s="4" t="s">
        <v>2376</v>
      </c>
    </row>
    <row r="450" customFormat="false" ht="21.75" hidden="false" customHeight="true" outlineLevel="0" collapsed="false">
      <c r="B450" s="7" t="s">
        <v>2346</v>
      </c>
      <c r="C450" s="7" t="s">
        <v>2377</v>
      </c>
      <c r="D450" s="7" t="s">
        <v>2378</v>
      </c>
      <c r="E450" s="7"/>
      <c r="F450" s="8" t="n">
        <v>0.55</v>
      </c>
      <c r="G450" s="14" t="n">
        <v>339</v>
      </c>
      <c r="H450" s="7" t="s">
        <v>71</v>
      </c>
      <c r="I450" s="7" t="s">
        <v>2379</v>
      </c>
    </row>
    <row r="451" customFormat="false" ht="21.75" hidden="false" customHeight="true" outlineLevel="0" collapsed="false">
      <c r="B451" s="4" t="s">
        <v>2380</v>
      </c>
      <c r="C451" s="4" t="s">
        <v>2381</v>
      </c>
      <c r="D451" s="4" t="s">
        <v>2348</v>
      </c>
      <c r="E451" s="4"/>
      <c r="F451" s="5" t="n">
        <v>0.65</v>
      </c>
      <c r="G451" s="13" t="n">
        <v>0</v>
      </c>
      <c r="H451" s="4" t="s">
        <v>84</v>
      </c>
      <c r="I451" s="4"/>
    </row>
    <row r="452" customFormat="false" ht="21.75" hidden="false" customHeight="true" outlineLevel="0" collapsed="false">
      <c r="B452" s="7" t="s">
        <v>2380</v>
      </c>
      <c r="C452" s="7" t="s">
        <v>2382</v>
      </c>
      <c r="D452" s="7" t="s">
        <v>2383</v>
      </c>
      <c r="E452" s="7"/>
      <c r="F452" s="8" t="n">
        <v>0.45</v>
      </c>
      <c r="G452" s="14" t="n">
        <v>0</v>
      </c>
      <c r="H452" s="7" t="s">
        <v>84</v>
      </c>
      <c r="I452" s="7"/>
    </row>
    <row r="453" customFormat="false" ht="21.75" hidden="false" customHeight="true" outlineLevel="0" collapsed="false">
      <c r="B453" s="4" t="s">
        <v>2384</v>
      </c>
      <c r="C453" s="4" t="n">
        <v>1</v>
      </c>
      <c r="D453" s="4" t="s">
        <v>2385</v>
      </c>
      <c r="E453" s="4" t="s">
        <v>2386</v>
      </c>
      <c r="F453" s="5" t="n">
        <v>19</v>
      </c>
      <c r="G453" s="13"/>
      <c r="H453" s="4" t="s">
        <v>84</v>
      </c>
      <c r="I453" s="4" t="s">
        <v>2387</v>
      </c>
    </row>
    <row r="454" customFormat="false" ht="21.75" hidden="false" customHeight="true" outlineLevel="0" collapsed="false">
      <c r="B454" s="7" t="s">
        <v>2384</v>
      </c>
      <c r="C454" s="7" t="n">
        <v>16</v>
      </c>
      <c r="D454" s="7" t="s">
        <v>2388</v>
      </c>
      <c r="E454" s="7" t="s">
        <v>2386</v>
      </c>
      <c r="F454" s="8" t="n">
        <v>0.73</v>
      </c>
      <c r="G454" s="14" t="n">
        <v>226</v>
      </c>
      <c r="H454" s="7" t="s">
        <v>71</v>
      </c>
      <c r="I454" s="7" t="s">
        <v>2389</v>
      </c>
    </row>
    <row r="455" customFormat="false" ht="21.75" hidden="false" customHeight="true" outlineLevel="0" collapsed="false">
      <c r="B455" s="4" t="s">
        <v>2384</v>
      </c>
      <c r="C455" s="4" t="n">
        <v>22</v>
      </c>
      <c r="D455" s="4" t="s">
        <v>2390</v>
      </c>
      <c r="E455" s="4" t="s">
        <v>2391</v>
      </c>
      <c r="F455" s="5" t="n">
        <v>5</v>
      </c>
      <c r="G455" s="13"/>
      <c r="H455" s="4" t="s">
        <v>84</v>
      </c>
      <c r="I455" s="4" t="s">
        <v>2392</v>
      </c>
    </row>
    <row r="456" customFormat="false" ht="21.75" hidden="false" customHeight="true" outlineLevel="0" collapsed="false">
      <c r="B456" s="7" t="s">
        <v>2384</v>
      </c>
      <c r="C456" s="7" t="n">
        <v>23</v>
      </c>
      <c r="D456" s="7" t="s">
        <v>2393</v>
      </c>
      <c r="E456" s="7" t="s">
        <v>2386</v>
      </c>
      <c r="F456" s="8" t="n">
        <v>6</v>
      </c>
      <c r="G456" s="14"/>
      <c r="H456" s="7" t="s">
        <v>84</v>
      </c>
      <c r="I456" s="7" t="s">
        <v>2394</v>
      </c>
    </row>
    <row r="457" customFormat="false" ht="21.75" hidden="false" customHeight="true" outlineLevel="0" collapsed="false">
      <c r="B457" s="4" t="s">
        <v>2384</v>
      </c>
      <c r="C457" s="4" t="n">
        <v>28</v>
      </c>
      <c r="D457" s="4" t="s">
        <v>2395</v>
      </c>
      <c r="E457" s="4" t="s">
        <v>2386</v>
      </c>
      <c r="F457" s="5" t="n">
        <v>40</v>
      </c>
      <c r="G457" s="13"/>
      <c r="H457" s="4" t="s">
        <v>84</v>
      </c>
      <c r="I457" s="4" t="s">
        <v>2396</v>
      </c>
    </row>
    <row r="458" customFormat="false" ht="21.75" hidden="false" customHeight="true" outlineLevel="0" collapsed="false">
      <c r="B458" s="7" t="s">
        <v>2384</v>
      </c>
      <c r="C458" s="7" t="n">
        <v>48</v>
      </c>
      <c r="D458" s="7" t="s">
        <v>2397</v>
      </c>
      <c r="E458" s="7" t="s">
        <v>2386</v>
      </c>
      <c r="F458" s="8" t="n">
        <v>30</v>
      </c>
      <c r="G458" s="14"/>
      <c r="H458" s="7" t="s">
        <v>84</v>
      </c>
      <c r="I458" s="7" t="s">
        <v>2398</v>
      </c>
    </row>
    <row r="459" customFormat="false" ht="21.75" hidden="false" customHeight="true" outlineLevel="0" collapsed="false">
      <c r="B459" s="4" t="s">
        <v>2384</v>
      </c>
      <c r="C459" s="4" t="n">
        <v>49</v>
      </c>
      <c r="D459" s="4" t="s">
        <v>2399</v>
      </c>
      <c r="E459" s="4" t="s">
        <v>2386</v>
      </c>
      <c r="F459" s="5" t="n">
        <v>6.5</v>
      </c>
      <c r="G459" s="13"/>
      <c r="H459" s="4" t="s">
        <v>84</v>
      </c>
      <c r="I459" s="4" t="s">
        <v>2400</v>
      </c>
    </row>
    <row r="460" customFormat="false" ht="21.75" hidden="false" customHeight="true" outlineLevel="0" collapsed="false">
      <c r="B460" s="7" t="s">
        <v>2384</v>
      </c>
      <c r="C460" s="7" t="n">
        <v>50</v>
      </c>
      <c r="D460" s="7" t="s">
        <v>1330</v>
      </c>
      <c r="E460" s="7" t="s">
        <v>2401</v>
      </c>
      <c r="F460" s="8" t="n">
        <v>1.89</v>
      </c>
      <c r="G460" s="14" t="n">
        <v>140</v>
      </c>
      <c r="H460" s="7" t="s">
        <v>71</v>
      </c>
      <c r="I460" s="7" t="s">
        <v>2402</v>
      </c>
    </row>
    <row r="461" customFormat="false" ht="21.75" hidden="false" customHeight="true" outlineLevel="0" collapsed="false">
      <c r="B461" s="4" t="s">
        <v>2384</v>
      </c>
      <c r="C461" s="4" t="n">
        <v>52</v>
      </c>
      <c r="D461" s="4" t="s">
        <v>2403</v>
      </c>
      <c r="E461" s="4" t="s">
        <v>2401</v>
      </c>
      <c r="F461" s="5" t="n">
        <v>37.29</v>
      </c>
      <c r="G461" s="13" t="n">
        <v>10</v>
      </c>
      <c r="H461" s="4" t="s">
        <v>71</v>
      </c>
      <c r="I461" s="4" t="s">
        <v>2404</v>
      </c>
    </row>
    <row r="462" customFormat="false" ht="21.75" hidden="false" customHeight="true" outlineLevel="0" collapsed="false">
      <c r="B462" s="7" t="s">
        <v>2384</v>
      </c>
      <c r="C462" s="7" t="n">
        <v>57</v>
      </c>
      <c r="D462" s="7" t="s">
        <v>1174</v>
      </c>
      <c r="E462" s="7" t="s">
        <v>2401</v>
      </c>
      <c r="F462" s="8" t="n">
        <v>34.99</v>
      </c>
      <c r="G462" s="14" t="n">
        <v>5</v>
      </c>
      <c r="H462" s="7" t="s">
        <v>71</v>
      </c>
      <c r="I462" s="7" t="s">
        <v>2405</v>
      </c>
    </row>
    <row r="463" customFormat="false" ht="21.75" hidden="false" customHeight="true" outlineLevel="0" collapsed="false">
      <c r="B463" s="4" t="s">
        <v>2384</v>
      </c>
      <c r="C463" s="4" t="n">
        <v>58</v>
      </c>
      <c r="D463" s="4" t="s">
        <v>2406</v>
      </c>
      <c r="E463" s="4" t="s">
        <v>2401</v>
      </c>
      <c r="F463" s="5" t="n">
        <v>12.59</v>
      </c>
      <c r="G463" s="13" t="n">
        <v>15</v>
      </c>
      <c r="H463" s="4" t="s">
        <v>71</v>
      </c>
      <c r="I463" s="4" t="s">
        <v>2407</v>
      </c>
    </row>
    <row r="464" customFormat="false" ht="21.75" hidden="false" customHeight="true" outlineLevel="0" collapsed="false">
      <c r="B464" s="7" t="s">
        <v>2384</v>
      </c>
      <c r="C464" s="7" t="n">
        <v>59</v>
      </c>
      <c r="D464" s="7" t="s">
        <v>910</v>
      </c>
      <c r="E464" s="7" t="s">
        <v>2401</v>
      </c>
      <c r="F464" s="8" t="n">
        <v>11.49</v>
      </c>
      <c r="G464" s="14" t="n">
        <v>94</v>
      </c>
      <c r="H464" s="7" t="s">
        <v>71</v>
      </c>
      <c r="I464" s="7" t="s">
        <v>2408</v>
      </c>
    </row>
    <row r="465" customFormat="false" ht="21.75" hidden="false" customHeight="true" outlineLevel="0" collapsed="false">
      <c r="B465" s="4" t="s">
        <v>2384</v>
      </c>
      <c r="C465" s="4" t="n">
        <v>60</v>
      </c>
      <c r="D465" s="4" t="s">
        <v>2409</v>
      </c>
      <c r="E465" s="4" t="s">
        <v>2401</v>
      </c>
      <c r="F465" s="5" t="n">
        <v>17.89</v>
      </c>
      <c r="G465" s="13" t="n">
        <v>29</v>
      </c>
      <c r="H465" s="4" t="s">
        <v>71</v>
      </c>
      <c r="I465" s="4" t="s">
        <v>2410</v>
      </c>
    </row>
    <row r="466" customFormat="false" ht="21.75" hidden="false" customHeight="true" outlineLevel="0" collapsed="false">
      <c r="B466" s="7" t="s">
        <v>2384</v>
      </c>
      <c r="C466" s="7" t="n">
        <v>62</v>
      </c>
      <c r="D466" s="7" t="s">
        <v>2411</v>
      </c>
      <c r="E466" s="7" t="s">
        <v>2401</v>
      </c>
      <c r="F466" s="8" t="n">
        <v>31.29</v>
      </c>
      <c r="G466" s="14" t="n">
        <v>2</v>
      </c>
      <c r="H466" s="7" t="s">
        <v>71</v>
      </c>
      <c r="I466" s="7" t="s">
        <v>2412</v>
      </c>
    </row>
    <row r="467" customFormat="false" ht="21.75" hidden="false" customHeight="true" outlineLevel="0" collapsed="false">
      <c r="B467" s="4" t="s">
        <v>2384</v>
      </c>
      <c r="C467" s="4" t="n">
        <v>64</v>
      </c>
      <c r="D467" s="4" t="s">
        <v>2413</v>
      </c>
      <c r="E467" s="4" t="s">
        <v>2401</v>
      </c>
      <c r="F467" s="5" t="n">
        <v>25.09</v>
      </c>
      <c r="G467" s="13" t="n">
        <v>21</v>
      </c>
      <c r="H467" s="4" t="s">
        <v>71</v>
      </c>
      <c r="I467" s="4" t="s">
        <v>2414</v>
      </c>
    </row>
    <row r="468" customFormat="false" ht="21.75" hidden="false" customHeight="true" outlineLevel="0" collapsed="false">
      <c r="B468" s="7" t="s">
        <v>2384</v>
      </c>
      <c r="C468" s="7" t="n">
        <v>66</v>
      </c>
      <c r="D468" s="7" t="s">
        <v>2415</v>
      </c>
      <c r="E468" s="7" t="s">
        <v>2386</v>
      </c>
      <c r="F468" s="8" t="n">
        <v>27</v>
      </c>
      <c r="G468" s="14" t="n">
        <v>0</v>
      </c>
      <c r="H468" s="7" t="s">
        <v>84</v>
      </c>
      <c r="I468" s="7" t="s">
        <v>2416</v>
      </c>
    </row>
    <row r="469" customFormat="false" ht="21.75" hidden="false" customHeight="true" outlineLevel="0" collapsed="false">
      <c r="B469" s="4" t="s">
        <v>2384</v>
      </c>
      <c r="C469" s="4" t="n">
        <v>67</v>
      </c>
      <c r="D469" s="4" t="s">
        <v>1437</v>
      </c>
      <c r="E469" s="4" t="s">
        <v>2386</v>
      </c>
      <c r="F469" s="5" t="n">
        <v>0.6</v>
      </c>
      <c r="G469" s="13"/>
      <c r="H469" s="4" t="s">
        <v>84</v>
      </c>
      <c r="I469" s="4" t="s">
        <v>2417</v>
      </c>
    </row>
    <row r="470" customFormat="false" ht="21.75" hidden="false" customHeight="true" outlineLevel="0" collapsed="false">
      <c r="B470" s="7" t="s">
        <v>2384</v>
      </c>
      <c r="C470" s="7" t="n">
        <v>68</v>
      </c>
      <c r="D470" s="7" t="s">
        <v>2418</v>
      </c>
      <c r="E470" s="7" t="s">
        <v>2386</v>
      </c>
      <c r="F470" s="8" t="n">
        <v>0.8</v>
      </c>
      <c r="G470" s="14"/>
      <c r="H470" s="7" t="s">
        <v>84</v>
      </c>
      <c r="I470" s="7" t="s">
        <v>2419</v>
      </c>
    </row>
    <row r="471" customFormat="false" ht="21.75" hidden="false" customHeight="true" outlineLevel="0" collapsed="false">
      <c r="B471" s="4" t="s">
        <v>2384</v>
      </c>
      <c r="C471" s="4" t="n">
        <v>72</v>
      </c>
      <c r="D471" s="4" t="s">
        <v>1223</v>
      </c>
      <c r="E471" s="4" t="s">
        <v>2401</v>
      </c>
      <c r="F471" s="5" t="n">
        <v>7.29</v>
      </c>
      <c r="G471" s="13"/>
      <c r="H471" s="4" t="s">
        <v>84</v>
      </c>
      <c r="I471" s="4" t="s">
        <v>2420</v>
      </c>
    </row>
    <row r="472" customFormat="false" ht="21.75" hidden="false" customHeight="true" outlineLevel="0" collapsed="false">
      <c r="B472" s="7" t="s">
        <v>2384</v>
      </c>
      <c r="C472" s="7" t="n">
        <v>73</v>
      </c>
      <c r="D472" s="7" t="s">
        <v>887</v>
      </c>
      <c r="E472" s="7" t="s">
        <v>2401</v>
      </c>
      <c r="F472" s="8" t="n">
        <v>8.49</v>
      </c>
      <c r="G472" s="14" t="n">
        <v>72</v>
      </c>
      <c r="H472" s="7" t="s">
        <v>71</v>
      </c>
      <c r="I472" s="7" t="s">
        <v>2421</v>
      </c>
    </row>
    <row r="473" customFormat="false" ht="21.75" hidden="false" customHeight="true" outlineLevel="0" collapsed="false">
      <c r="B473" s="4" t="s">
        <v>2384</v>
      </c>
      <c r="C473" s="4" t="n">
        <v>75</v>
      </c>
      <c r="D473" s="4" t="s">
        <v>2354</v>
      </c>
      <c r="E473" s="4" t="s">
        <v>2401</v>
      </c>
      <c r="F473" s="5" t="n">
        <v>7.79</v>
      </c>
      <c r="G473" s="13" t="n">
        <v>19</v>
      </c>
      <c r="H473" s="4" t="s">
        <v>71</v>
      </c>
      <c r="I473" s="4" t="s">
        <v>2422</v>
      </c>
    </row>
    <row r="474" customFormat="false" ht="21.75" hidden="false" customHeight="true" outlineLevel="0" collapsed="false">
      <c r="B474" s="7" t="s">
        <v>2384</v>
      </c>
      <c r="C474" s="7" t="n">
        <v>76</v>
      </c>
      <c r="D474" s="7" t="s">
        <v>2351</v>
      </c>
      <c r="E474" s="7" t="s">
        <v>2401</v>
      </c>
      <c r="F474" s="8" t="n">
        <v>2.29</v>
      </c>
      <c r="G474" s="14" t="n">
        <v>199</v>
      </c>
      <c r="H474" s="7" t="s">
        <v>71</v>
      </c>
      <c r="I474" s="7" t="s">
        <v>2423</v>
      </c>
    </row>
    <row r="475" customFormat="false" ht="21.75" hidden="false" customHeight="true" outlineLevel="0" collapsed="false">
      <c r="B475" s="4" t="s">
        <v>2384</v>
      </c>
      <c r="C475" s="4" t="n">
        <v>77</v>
      </c>
      <c r="D475" s="4" t="s">
        <v>2372</v>
      </c>
      <c r="E475" s="4" t="s">
        <v>2401</v>
      </c>
      <c r="F475" s="5" t="n">
        <v>14.99</v>
      </c>
      <c r="G475" s="13" t="n">
        <v>11</v>
      </c>
      <c r="H475" s="4" t="s">
        <v>71</v>
      </c>
      <c r="I475" s="4" t="s">
        <v>2424</v>
      </c>
    </row>
    <row r="476" customFormat="false" ht="21.75" hidden="false" customHeight="true" outlineLevel="0" collapsed="false">
      <c r="B476" s="7" t="s">
        <v>2384</v>
      </c>
      <c r="C476" s="7" t="n">
        <v>78</v>
      </c>
      <c r="D476" s="7" t="s">
        <v>2363</v>
      </c>
      <c r="E476" s="7" t="s">
        <v>2401</v>
      </c>
      <c r="F476" s="8" t="n">
        <v>0.89</v>
      </c>
      <c r="G476" s="14" t="n">
        <v>90</v>
      </c>
      <c r="H476" s="7" t="s">
        <v>71</v>
      </c>
      <c r="I476" s="7" t="s">
        <v>2425</v>
      </c>
    </row>
    <row r="477" customFormat="false" ht="21.75" hidden="false" customHeight="true" outlineLevel="0" collapsed="false">
      <c r="B477" s="4" t="s">
        <v>2384</v>
      </c>
      <c r="C477" s="4" t="n">
        <v>81</v>
      </c>
      <c r="D477" s="4" t="s">
        <v>2426</v>
      </c>
      <c r="E477" s="4" t="s">
        <v>2401</v>
      </c>
      <c r="F477" s="5" t="n">
        <v>13.09</v>
      </c>
      <c r="G477" s="13" t="n">
        <v>49</v>
      </c>
      <c r="H477" s="4" t="s">
        <v>71</v>
      </c>
      <c r="I477" s="4" t="s">
        <v>2427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46"/>
    <col collapsed="false" customWidth="true" hidden="false" outlineLevel="0" max="6" min="4" style="1" width="8"/>
  </cols>
  <sheetData>
    <row r="2" customFormat="false" ht="31.5" hidden="false" customHeight="true" outlineLevel="0" collapsed="false">
      <c r="B2" s="2" t="s">
        <v>2428</v>
      </c>
      <c r="C2" s="2"/>
      <c r="D2" s="2"/>
      <c r="E2" s="2"/>
      <c r="F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60</v>
      </c>
      <c r="C4" s="3" t="s">
        <v>2429</v>
      </c>
      <c r="D4" s="3" t="s">
        <v>2430</v>
      </c>
      <c r="E4" s="3" t="s">
        <v>2431</v>
      </c>
      <c r="F4" s="3" t="s">
        <v>2432</v>
      </c>
    </row>
    <row r="5" customFormat="false" ht="21.75" hidden="false" customHeight="true" outlineLevel="0" collapsed="false">
      <c r="B5" s="4" t="s">
        <v>325</v>
      </c>
      <c r="C5" s="5" t="n">
        <v>5.03</v>
      </c>
      <c r="D5" s="5" t="n">
        <v>6.06</v>
      </c>
      <c r="E5" s="17" t="n">
        <f aca="false">IFERROR(C5/D5,"")</f>
        <v>0.83003300330033</v>
      </c>
      <c r="F5" s="4" t="str">
        <f aca="false">IF(E5="","",IF(E5&lt;0.8,"cb_ أرخص بوضوح",IF(E5&lt;=1.05,"تقارب","canboso أرخص")))</f>
        <v>تقارب</v>
      </c>
    </row>
    <row r="6" customFormat="false" ht="21.75" hidden="false" customHeight="true" outlineLevel="0" collapsed="false">
      <c r="B6" s="7" t="s">
        <v>329</v>
      </c>
      <c r="C6" s="8" t="n">
        <v>5.49</v>
      </c>
      <c r="D6" s="8" t="n">
        <v>6.44</v>
      </c>
      <c r="E6" s="18" t="n">
        <f aca="false">IFERROR(C6/D6,"")</f>
        <v>0.85248447204969</v>
      </c>
      <c r="F6" s="7" t="str">
        <f aca="false">IF(E6="","",IF(E6&lt;0.8,"cb_ أرخص بوضوح",IF(E6&lt;=1.05,"تقارب","canboso أرخص")))</f>
        <v>تقارب</v>
      </c>
    </row>
    <row r="7" customFormat="false" ht="21.75" hidden="false" customHeight="true" outlineLevel="0" collapsed="false">
      <c r="B7" s="4" t="s">
        <v>331</v>
      </c>
      <c r="C7" s="5" t="n">
        <v>6.87</v>
      </c>
      <c r="D7" s="5" t="n">
        <v>6.82</v>
      </c>
      <c r="E7" s="17" t="n">
        <f aca="false">IFERROR(C7/D7,"")</f>
        <v>1.00733137829912</v>
      </c>
      <c r="F7" s="4" t="str">
        <f aca="false">IF(E7="","",IF(E7&lt;0.8,"cb_ أرخص بوضوح",IF(E7&lt;=1.05,"تقارب","canboso أرخص")))</f>
        <v>تقارب</v>
      </c>
    </row>
    <row r="8" customFormat="false" ht="21.75" hidden="false" customHeight="true" outlineLevel="0" collapsed="false">
      <c r="B8" s="7" t="s">
        <v>333</v>
      </c>
      <c r="C8" s="8" t="n">
        <v>8.24</v>
      </c>
      <c r="D8" s="8" t="n">
        <v>8.34</v>
      </c>
      <c r="E8" s="18" t="n">
        <f aca="false">IFERROR(C8/D8,"")</f>
        <v>0.988009592326139</v>
      </c>
      <c r="F8" s="7" t="str">
        <f aca="false">IF(E8="","",IF(E8&lt;0.8,"cb_ أرخص بوضوح",IF(E8&lt;=1.05,"تقارب","canboso أرخص")))</f>
        <v>تقارب</v>
      </c>
    </row>
    <row r="9" customFormat="false" ht="21.75" hidden="false" customHeight="true" outlineLevel="0" collapsed="false">
      <c r="B9" s="4" t="s">
        <v>335</v>
      </c>
      <c r="C9" s="5" t="n">
        <v>9.6</v>
      </c>
      <c r="D9" s="5" t="n">
        <v>9.11</v>
      </c>
      <c r="E9" s="17" t="n">
        <f aca="false">IFERROR(C9/D9,"")</f>
        <v>1.05378704720088</v>
      </c>
      <c r="F9" s="4" t="str">
        <f aca="false">IF(E9="","",IF(E9&lt;0.8,"cb_ أرخص بوضوح",IF(E9&lt;=1.05,"تقارب","canboso أرخص")))</f>
        <v>canboso أرخص</v>
      </c>
    </row>
    <row r="10" customFormat="false" ht="21.75" hidden="false" customHeight="true" outlineLevel="0" collapsed="false">
      <c r="B10" s="7" t="s">
        <v>337</v>
      </c>
      <c r="C10" s="8" t="n">
        <v>2.98</v>
      </c>
      <c r="D10" s="8" t="n">
        <v>3.77</v>
      </c>
      <c r="E10" s="18" t="n">
        <f aca="false">IFERROR(C10/D10,"")</f>
        <v>0.790450928381963</v>
      </c>
      <c r="F10" s="7" t="str">
        <f aca="false">IF(E10="","",IF(E10&lt;0.8,"cb_ أرخص بوضوح",IF(E10&lt;=1.05,"تقارب","canboso أرخص")))</f>
        <v>cb_ أرخص بوضوح</v>
      </c>
    </row>
    <row r="11" customFormat="false" ht="21.75" hidden="false" customHeight="true" outlineLevel="0" collapsed="false">
      <c r="B11" s="4" t="s">
        <v>339</v>
      </c>
      <c r="C11" s="5" t="n">
        <v>3.44</v>
      </c>
      <c r="D11" s="5" t="n">
        <v>4.16</v>
      </c>
      <c r="E11" s="17" t="n">
        <f aca="false">IFERROR(C11/D11,"")</f>
        <v>0.826923076923077</v>
      </c>
      <c r="F11" s="4" t="str">
        <f aca="false">IF(E11="","",IF(E11&lt;0.8,"cb_ أرخص بوضوح",IF(E11&lt;=1.05,"تقارب","canboso أرخص")))</f>
        <v>تقارب</v>
      </c>
    </row>
    <row r="12" customFormat="false" ht="21.75" hidden="false" customHeight="true" outlineLevel="0" collapsed="false">
      <c r="B12" s="7" t="s">
        <v>341</v>
      </c>
      <c r="C12" s="8" t="n">
        <v>4.12</v>
      </c>
      <c r="D12" s="8" t="n">
        <v>4.92</v>
      </c>
      <c r="E12" s="18" t="n">
        <f aca="false">IFERROR(C12/D12,"")</f>
        <v>0.83739837398374</v>
      </c>
      <c r="F12" s="7" t="str">
        <f aca="false">IF(E12="","",IF(E12&lt;0.8,"cb_ أرخص بوضوح",IF(E12&lt;=1.05,"تقارب","canboso أرخص")))</f>
        <v>تقارب</v>
      </c>
    </row>
    <row r="13" customFormat="false" ht="21.75" hidden="false" customHeight="true" outlineLevel="0" collapsed="false">
      <c r="B13" s="4" t="s">
        <v>431</v>
      </c>
      <c r="C13" s="5" t="n">
        <v>1.72</v>
      </c>
      <c r="D13" s="5" t="n">
        <v>2.25</v>
      </c>
      <c r="E13" s="17" t="n">
        <f aca="false">IFERROR(C13/D13,"")</f>
        <v>0.764444444444445</v>
      </c>
      <c r="F13" s="4" t="str">
        <f aca="false">IF(E13="","",IF(E13&lt;0.8,"cb_ أرخص بوضوح",IF(E13&lt;=1.05,"تقارب","canboso أرخص")))</f>
        <v>cb_ أرخص بوضوح</v>
      </c>
    </row>
    <row r="14" customFormat="false" ht="21.75" hidden="false" customHeight="true" outlineLevel="0" collapsed="false">
      <c r="B14" s="7" t="s">
        <v>601</v>
      </c>
      <c r="C14" s="8" t="n">
        <v>0.75</v>
      </c>
      <c r="D14" s="8" t="n">
        <v>1.49</v>
      </c>
      <c r="E14" s="18" t="n">
        <f aca="false">IFERROR(C14/D14,"")</f>
        <v>0.503355704697987</v>
      </c>
      <c r="F14" s="7" t="str">
        <f aca="false">IF(E14="","",IF(E14&lt;0.8,"cb_ أرخص بوضوح",IF(E14&lt;=1.05,"تقارب","canboso أرخص")))</f>
        <v>cb_ أرخص بوضوح</v>
      </c>
    </row>
    <row r="15" customFormat="false" ht="21.75" hidden="false" customHeight="true" outlineLevel="0" collapsed="false">
      <c r="B15" s="4" t="s">
        <v>251</v>
      </c>
      <c r="C15" s="5" t="n">
        <v>13.72</v>
      </c>
      <c r="D15" s="5" t="n">
        <v>12.53</v>
      </c>
      <c r="E15" s="17" t="n">
        <f aca="false">IFERROR(C15/D15,"")</f>
        <v>1.09497206703911</v>
      </c>
      <c r="F15" s="4" t="str">
        <f aca="false">IF(E15="","",IF(E15&lt;0.8,"cb_ أرخص بوضوح",IF(E15&lt;=1.05,"تقارب","canboso أرخص")))</f>
        <v>canboso أرخص</v>
      </c>
    </row>
    <row r="16" customFormat="false" ht="21.75" hidden="false" customHeight="true" outlineLevel="0" collapsed="false">
      <c r="B16" s="7" t="s">
        <v>468</v>
      </c>
      <c r="C16" s="8" t="n">
        <v>2.21</v>
      </c>
      <c r="D16" s="8" t="n">
        <v>3.01</v>
      </c>
      <c r="E16" s="18" t="n">
        <f aca="false">IFERROR(C16/D16,"")</f>
        <v>0.73421926910299</v>
      </c>
      <c r="F16" s="7" t="str">
        <f aca="false">IF(E16="","",IF(E16&lt;0.8,"cb_ أرخص بوضوح",IF(E16&lt;=1.05,"تقارب","canboso أرخص")))</f>
        <v>cb_ أرخص بوضوح</v>
      </c>
    </row>
    <row r="17" customFormat="false" ht="21.75" hidden="false" customHeight="true" outlineLevel="0" collapsed="false">
      <c r="B17" s="4" t="s">
        <v>190</v>
      </c>
      <c r="C17" s="5" t="n">
        <v>10.01</v>
      </c>
      <c r="D17" s="5" t="n">
        <v>9.49</v>
      </c>
      <c r="E17" s="17" t="n">
        <f aca="false">IFERROR(C17/D17,"")</f>
        <v>1.05479452054795</v>
      </c>
      <c r="F17" s="4" t="str">
        <f aca="false">IF(E17="","",IF(E17&lt;0.8,"cb_ أرخص بوضوح",IF(E17&lt;=1.05,"تقارب","canboso أرخص")))</f>
        <v>canboso أرخص</v>
      </c>
    </row>
    <row r="18" customFormat="false" ht="21.75" hidden="false" customHeight="true" outlineLevel="0" collapsed="false">
      <c r="B18" s="7" t="s">
        <v>194</v>
      </c>
      <c r="C18" s="8" t="n">
        <v>14.13</v>
      </c>
      <c r="D18" s="8" t="n">
        <v>13.68</v>
      </c>
      <c r="E18" s="18" t="n">
        <f aca="false">IFERROR(C18/D18,"")</f>
        <v>1.03289473684211</v>
      </c>
      <c r="F18" s="7" t="str">
        <f aca="false">IF(E18="","",IF(E18&lt;0.8,"cb_ أرخص بوضوح",IF(E18&lt;=1.05,"تقارب","canboso أرخص")))</f>
        <v>تقارب</v>
      </c>
    </row>
    <row r="19" customFormat="false" ht="21.75" hidden="false" customHeight="true" outlineLevel="0" collapsed="false">
      <c r="B19" s="4" t="s">
        <v>197</v>
      </c>
      <c r="C19" s="5" t="n">
        <v>14.13</v>
      </c>
      <c r="D19" s="5" t="n">
        <v>13.68</v>
      </c>
      <c r="E19" s="17" t="n">
        <f aca="false">IFERROR(C19/D19,"")</f>
        <v>1.03289473684211</v>
      </c>
      <c r="F19" s="4" t="str">
        <f aca="false">IF(E19="","",IF(E19&lt;0.8,"cb_ أرخص بوضوح",IF(E19&lt;=1.05,"تقارب","canboso أرخص")))</f>
        <v>تقارب</v>
      </c>
    </row>
    <row r="20" customFormat="false" ht="21.75" hidden="false" customHeight="true" outlineLevel="0" collapsed="false">
      <c r="B20" s="7" t="s">
        <v>642</v>
      </c>
      <c r="C20" s="8" t="n">
        <v>1.72</v>
      </c>
      <c r="D20" s="8" t="n">
        <v>2.25</v>
      </c>
      <c r="E20" s="18" t="n">
        <f aca="false">IFERROR(C20/D20,"")</f>
        <v>0.764444444444445</v>
      </c>
      <c r="F20" s="7" t="str">
        <f aca="false">IF(E20="","",IF(E20&lt;0.8,"cb_ أرخص بوضوح",IF(E20&lt;=1.05,"تقارب","canboso أرخص")))</f>
        <v>cb_ أرخص بوضوح</v>
      </c>
    </row>
    <row r="21" customFormat="false" ht="21.75" hidden="false" customHeight="true" outlineLevel="0" collapsed="false">
      <c r="B21" s="4" t="s">
        <v>711</v>
      </c>
      <c r="C21" s="5" t="n">
        <v>2.21</v>
      </c>
      <c r="D21" s="5" t="n">
        <v>3.01</v>
      </c>
      <c r="E21" s="17" t="n">
        <f aca="false">IFERROR(C21/D21,"")</f>
        <v>0.73421926910299</v>
      </c>
      <c r="F21" s="4" t="str">
        <f aca="false">IF(E21="","",IF(E21&lt;0.8,"cb_ أرخص بوضوح",IF(E21&lt;=1.05,"تقارب","canboso أرخص")))</f>
        <v>cb_ أرخص بوضوح</v>
      </c>
    </row>
    <row r="22" customFormat="false" ht="21.75" hidden="false" customHeight="true" outlineLevel="0" collapsed="false">
      <c r="B22" s="7" t="s">
        <v>772</v>
      </c>
      <c r="C22" s="8" t="n">
        <v>2.52</v>
      </c>
      <c r="D22" s="8" t="n">
        <v>3.39</v>
      </c>
      <c r="E22" s="18" t="n">
        <f aca="false">IFERROR(C22/D22,"")</f>
        <v>0.743362831858407</v>
      </c>
      <c r="F22" s="7" t="str">
        <f aca="false">IF(E22="","",IF(E22&lt;0.8,"cb_ أرخص بوضوح",IF(E22&lt;=1.05,"تقارب","canboso أرخص")))</f>
        <v>cb_ أرخص بوضوح</v>
      </c>
    </row>
    <row r="23" customFormat="false" ht="21.75" hidden="false" customHeight="true" outlineLevel="0" collapsed="false">
      <c r="B23" s="4" t="s">
        <v>737</v>
      </c>
      <c r="C23" s="5" t="n">
        <v>3.62</v>
      </c>
      <c r="D23" s="5" t="n">
        <v>3.77</v>
      </c>
      <c r="E23" s="17" t="n">
        <f aca="false">IFERROR(C23/D23,"")</f>
        <v>0.960212201591512</v>
      </c>
      <c r="F23" s="4" t="str">
        <f aca="false">IF(E23="","",IF(E23&lt;0.8,"cb_ أرخص بوضوح",IF(E23&lt;=1.05,"تقارب","canboso أرخص")))</f>
        <v>تقارب</v>
      </c>
    </row>
    <row r="24" customFormat="false" ht="21.75" hidden="false" customHeight="true" outlineLevel="0" collapsed="false">
      <c r="B24" s="7" t="s">
        <v>741</v>
      </c>
      <c r="C24" s="8" t="n">
        <v>2.4</v>
      </c>
      <c r="D24" s="8" t="n">
        <v>2.25</v>
      </c>
      <c r="E24" s="18" t="n">
        <f aca="false">IFERROR(C24/D24,"")</f>
        <v>1.06666666666667</v>
      </c>
      <c r="F24" s="7" t="str">
        <f aca="false">IF(E24="","",IF(E24&lt;0.8,"cb_ أرخص بوضوح",IF(E24&lt;=1.05,"تقارب","canboso أرخص")))</f>
        <v>canboso أرخص</v>
      </c>
    </row>
    <row r="25" customFormat="false" ht="21.75" hidden="false" customHeight="true" outlineLevel="0" collapsed="false">
      <c r="B25" s="4" t="s">
        <v>164</v>
      </c>
      <c r="C25" s="5" t="n">
        <v>11.9</v>
      </c>
      <c r="D25" s="5" t="n">
        <v>12.69</v>
      </c>
      <c r="E25" s="17" t="n">
        <f aca="false">IFERROR(C25/D25,"")</f>
        <v>0.937746256895193</v>
      </c>
      <c r="F25" s="4" t="str">
        <f aca="false">IF(E25="","",IF(E25&lt;0.8,"cb_ أرخص بوضوح",IF(E25&lt;=1.05,"تقارب","canboso أرخص")))</f>
        <v>تقارب</v>
      </c>
    </row>
    <row r="26" customFormat="false" ht="21.75" hidden="false" customHeight="true" outlineLevel="0" collapsed="false">
      <c r="B26" s="7" t="s">
        <v>288</v>
      </c>
      <c r="C26" s="8" t="n">
        <v>3.44</v>
      </c>
      <c r="D26" s="8" t="n">
        <v>3.77</v>
      </c>
      <c r="E26" s="18" t="n">
        <f aca="false">IFERROR(C26/D26,"")</f>
        <v>0.912466843501326</v>
      </c>
      <c r="F26" s="7" t="str">
        <f aca="false">IF(E26="","",IF(E26&lt;0.8,"cb_ أرخص بوضوح",IF(E26&lt;=1.05,"تقارب","canboso أرخص")))</f>
        <v>تقارب</v>
      </c>
    </row>
    <row r="27" customFormat="false" ht="21.75" hidden="false" customHeight="true" outlineLevel="0" collapsed="false">
      <c r="B27" s="4" t="s">
        <v>292</v>
      </c>
      <c r="C27" s="5" t="n">
        <v>6.87</v>
      </c>
      <c r="D27" s="5" t="n">
        <v>6.06</v>
      </c>
      <c r="E27" s="17" t="n">
        <f aca="false">IFERROR(C27/D27,"")</f>
        <v>1.13366336633663</v>
      </c>
      <c r="F27" s="4" t="str">
        <f aca="false">IF(E27="","",IF(E27&lt;0.8,"cb_ أرخص بوضوح",IF(E27&lt;=1.05,"تقارب","canboso أرخص")))</f>
        <v>canboso أرخص</v>
      </c>
    </row>
    <row r="28" customFormat="false" ht="21.75" hidden="false" customHeight="true" outlineLevel="0" collapsed="false">
      <c r="B28" s="7" t="s">
        <v>484</v>
      </c>
      <c r="C28" s="8" t="n">
        <v>1.91</v>
      </c>
      <c r="D28" s="8" t="n">
        <v>1.12</v>
      </c>
      <c r="E28" s="18" t="n">
        <f aca="false">IFERROR(C28/D28,"")</f>
        <v>1.70535714285714</v>
      </c>
      <c r="F28" s="7" t="str">
        <f aca="false">IF(E28="","",IF(E28&lt;0.8,"cb_ أرخص بوضوح",IF(E28&lt;=1.05,"تقارب","canboso أرخص")))</f>
        <v>canboso أرخص</v>
      </c>
    </row>
    <row r="29" customFormat="false" ht="21.75" hidden="false" customHeight="true" outlineLevel="0" collapsed="false">
      <c r="B29" s="4" t="s">
        <v>488</v>
      </c>
      <c r="C29" s="5" t="n">
        <v>7.28</v>
      </c>
      <c r="D29" s="5" t="n">
        <v>4.97</v>
      </c>
      <c r="E29" s="17" t="n">
        <f aca="false">IFERROR(C29/D29,"")</f>
        <v>1.46478873239437</v>
      </c>
      <c r="F29" s="4" t="str">
        <f aca="false">IF(E29="","",IF(E29&lt;0.8,"cb_ أرخص بوضوح",IF(E29&lt;=1.05,"تقارب","canboso أرخص")))</f>
        <v>canboso أرخص</v>
      </c>
    </row>
    <row r="30" customFormat="false" ht="21.75" hidden="false" customHeight="true" outlineLevel="0" collapsed="false">
      <c r="B30" s="7" t="s">
        <v>490</v>
      </c>
      <c r="C30" s="8" t="n">
        <v>3.16</v>
      </c>
      <c r="D30" s="8" t="n">
        <v>1.89</v>
      </c>
      <c r="E30" s="18" t="n">
        <f aca="false">IFERROR(C30/D30,"")</f>
        <v>1.67195767195767</v>
      </c>
      <c r="F30" s="7" t="str">
        <f aca="false">IF(E30="","",IF(E30&lt;0.8,"cb_ أرخص بوضوح",IF(E30&lt;=1.05,"تقارب","canboso أرخص")))</f>
        <v>canboso أرخص</v>
      </c>
    </row>
    <row r="31" customFormat="false" ht="21.75" hidden="false" customHeight="true" outlineLevel="0" collapsed="false">
      <c r="B31" s="4" t="s">
        <v>492</v>
      </c>
      <c r="C31" s="5" t="n">
        <v>5</v>
      </c>
      <c r="D31" s="5" t="n">
        <v>3.04</v>
      </c>
      <c r="E31" s="17" t="n">
        <f aca="false">IFERROR(C31/D31,"")</f>
        <v>1.64473684210526</v>
      </c>
      <c r="F31" s="4" t="str">
        <f aca="false">IF(E31="","",IF(E31&lt;0.8,"cb_ أرخص بوضوح",IF(E31&lt;=1.05,"تقارب","canboso أرخص")))</f>
        <v>canboso أرخص</v>
      </c>
    </row>
    <row r="32" customFormat="false" ht="21.75" hidden="false" customHeight="true" outlineLevel="0" collapsed="false">
      <c r="B32" s="7" t="s">
        <v>350</v>
      </c>
      <c r="C32" s="8" t="n">
        <v>4.58</v>
      </c>
      <c r="D32" s="8" t="n">
        <v>5.3</v>
      </c>
      <c r="E32" s="18" t="n">
        <f aca="false">IFERROR(C32/D32,"")</f>
        <v>0.864150943396226</v>
      </c>
      <c r="F32" s="7" t="str">
        <f aca="false">IF(E32="","",IF(E32&lt;0.8,"cb_ أرخص بوضوح",IF(E32&lt;=1.05,"تقارب","canboso أرخص")))</f>
        <v>تقارب</v>
      </c>
    </row>
    <row r="33" customFormat="false" ht="21.75" hidden="false" customHeight="true" outlineLevel="0" collapsed="false">
      <c r="B33" s="4" t="s">
        <v>352</v>
      </c>
      <c r="C33" s="5" t="n">
        <v>3.89</v>
      </c>
      <c r="D33" s="5" t="n">
        <v>4.92</v>
      </c>
      <c r="E33" s="17" t="n">
        <f aca="false">IFERROR(C33/D33,"")</f>
        <v>0.790650406504065</v>
      </c>
      <c r="F33" s="4" t="str">
        <f aca="false">IF(E33="","",IF(E33&lt;0.8,"cb_ أرخص بوضوح",IF(E33&lt;=1.05,"تقارب","canboso أرخص")))</f>
        <v>cb_ أرخص بوضوح</v>
      </c>
    </row>
    <row r="34" customFormat="false" ht="21.75" hidden="false" customHeight="true" outlineLevel="0" collapsed="false">
      <c r="B34" s="7" t="s">
        <v>354</v>
      </c>
      <c r="C34" s="8" t="n">
        <v>3.44</v>
      </c>
      <c r="D34" s="8" t="n">
        <v>4.54</v>
      </c>
      <c r="E34" s="18" t="n">
        <f aca="false">IFERROR(C34/D34,"")</f>
        <v>0.757709251101322</v>
      </c>
      <c r="F34" s="7" t="str">
        <f aca="false">IF(E34="","",IF(E34&lt;0.8,"cb_ أرخص بوضوح",IF(E34&lt;=1.05,"تقارب","canboso أرخص")))</f>
        <v>cb_ أرخص بوضوح</v>
      </c>
    </row>
    <row r="35" customFormat="false" ht="21.75" hidden="false" customHeight="true" outlineLevel="0" collapsed="false">
      <c r="B35" s="4" t="s">
        <v>356</v>
      </c>
      <c r="C35" s="5" t="n">
        <v>2.75</v>
      </c>
      <c r="D35" s="5" t="n">
        <v>3.77</v>
      </c>
      <c r="E35" s="17" t="n">
        <f aca="false">IFERROR(C35/D35,"")</f>
        <v>0.729442970822281</v>
      </c>
      <c r="F35" s="4" t="str">
        <f aca="false">IF(E35="","",IF(E35&lt;0.8,"cb_ أرخص بوضوح",IF(E35&lt;=1.05,"تقارب","canboso أرخص")))</f>
        <v>cb_ أرخص بوضوح</v>
      </c>
    </row>
    <row r="36" customFormat="false" ht="21.75" hidden="false" customHeight="true" outlineLevel="0" collapsed="false">
      <c r="B36" s="7" t="s">
        <v>359</v>
      </c>
      <c r="C36" s="8" t="n">
        <v>10.52</v>
      </c>
      <c r="D36" s="8" t="n">
        <v>9.87</v>
      </c>
      <c r="E36" s="18" t="n">
        <f aca="false">IFERROR(C36/D36,"")</f>
        <v>1.06585612968592</v>
      </c>
      <c r="F36" s="7" t="str">
        <f aca="false">IF(E36="","",IF(E36&lt;0.8,"cb_ أرخص بوضوح",IF(E36&lt;=1.05,"تقارب","canboso أرخص")))</f>
        <v>canboso أرخص</v>
      </c>
    </row>
    <row r="37" customFormat="false" ht="21.75" hidden="false" customHeight="true" outlineLevel="0" collapsed="false">
      <c r="B37" s="4" t="s">
        <v>362</v>
      </c>
      <c r="C37" s="5" t="n">
        <v>20.57</v>
      </c>
      <c r="D37" s="5" t="n">
        <v>19.01</v>
      </c>
      <c r="E37" s="17" t="n">
        <f aca="false">IFERROR(C37/D37,"")</f>
        <v>1.08206207259337</v>
      </c>
      <c r="F37" s="4" t="str">
        <f aca="false">IF(E37="","",IF(E37&lt;0.8,"cb_ أرخص بوضوح",IF(E37&lt;=1.05,"تقارب","canboso أرخص")))</f>
        <v>canboso أرخص</v>
      </c>
    </row>
    <row r="38" customFormat="false" ht="21.75" hidden="false" customHeight="true" outlineLevel="0" collapsed="false">
      <c r="B38" s="7" t="s">
        <v>365</v>
      </c>
      <c r="C38" s="8" t="n">
        <v>1.72</v>
      </c>
      <c r="D38" s="8" t="n">
        <v>2.25</v>
      </c>
      <c r="E38" s="18" t="n">
        <f aca="false">IFERROR(C38/D38,"")</f>
        <v>0.764444444444445</v>
      </c>
      <c r="F38" s="7" t="str">
        <f aca="false">IF(E38="","",IF(E38&lt;0.8,"cb_ أرخص بوضوح",IF(E38&lt;=1.05,"تقارب","canboso أرخص")))</f>
        <v>cb_ أرخص بوضوح</v>
      </c>
    </row>
    <row r="39" customFormat="false" ht="21.75" hidden="false" customHeight="true" outlineLevel="0" collapsed="false">
      <c r="B39" s="4" t="s">
        <v>368</v>
      </c>
      <c r="C39" s="5" t="n">
        <v>40.23</v>
      </c>
      <c r="D39" s="5" t="n">
        <v>38.62</v>
      </c>
      <c r="E39" s="17" t="n">
        <f aca="false">IFERROR(C39/D39,"")</f>
        <v>1.04168824443294</v>
      </c>
      <c r="F39" s="4" t="str">
        <f aca="false">IF(E39="","",IF(E39&lt;0.8,"cb_ أرخص بوضوح",IF(E39&lt;=1.05,"تقارب","canboso أرخص")))</f>
        <v>تقارب</v>
      </c>
    </row>
    <row r="40" customFormat="false" ht="21.75" hidden="false" customHeight="true" outlineLevel="0" collapsed="false">
      <c r="B40" s="7" t="s">
        <v>371</v>
      </c>
      <c r="C40" s="8" t="n">
        <v>6.18</v>
      </c>
      <c r="D40" s="8" t="n">
        <v>6.54</v>
      </c>
      <c r="E40" s="18" t="n">
        <f aca="false">IFERROR(C40/D40,"")</f>
        <v>0.944954128440367</v>
      </c>
      <c r="F40" s="7" t="str">
        <f aca="false">IF(E40="","",IF(E40&lt;0.8,"cb_ أرخص بوضوح",IF(E40&lt;=1.05,"تقارب","canboso أرخص")))</f>
        <v>تقارب</v>
      </c>
    </row>
    <row r="41" customFormat="false" ht="21.75" hidden="false" customHeight="true" outlineLevel="0" collapsed="false">
      <c r="B41" s="4" t="s">
        <v>373</v>
      </c>
      <c r="C41" s="5" t="n">
        <v>3.66</v>
      </c>
      <c r="D41" s="5" t="n">
        <v>4.16</v>
      </c>
      <c r="E41" s="17" t="n">
        <f aca="false">IFERROR(C41/D41,"")</f>
        <v>0.879807692307692</v>
      </c>
      <c r="F41" s="4" t="str">
        <f aca="false">IF(E41="","",IF(E41&lt;0.8,"cb_ أرخص بوضوح",IF(E41&lt;=1.05,"تقارب","canboso أرخص")))</f>
        <v>تقارب</v>
      </c>
    </row>
    <row r="42" customFormat="false" ht="21.75" hidden="false" customHeight="true" outlineLevel="0" collapsed="false">
      <c r="B42" s="7" t="s">
        <v>376</v>
      </c>
      <c r="C42" s="8" t="n">
        <v>3.89</v>
      </c>
      <c r="D42" s="8" t="n">
        <v>4.99</v>
      </c>
      <c r="E42" s="18" t="n">
        <f aca="false">IFERROR(C42/D42,"")</f>
        <v>0.779559118236473</v>
      </c>
      <c r="F42" s="7" t="str">
        <f aca="false">IF(E42="","",IF(E42&lt;0.8,"cb_ أرخص بوضوح",IF(E42&lt;=1.05,"تقارب","canboso أرخص")))</f>
        <v>cb_ أرخص بوضوح</v>
      </c>
    </row>
    <row r="43" customFormat="false" ht="21.75" hidden="false" customHeight="true" outlineLevel="0" collapsed="false">
      <c r="B43" s="4" t="s">
        <v>378</v>
      </c>
      <c r="C43" s="5" t="n">
        <v>0.15</v>
      </c>
      <c r="D43" s="5" t="n">
        <v>0.35</v>
      </c>
      <c r="E43" s="17" t="n">
        <f aca="false">IFERROR(C43/D43,"")</f>
        <v>0.428571428571429</v>
      </c>
      <c r="F43" s="4" t="str">
        <f aca="false">IF(E43="","",IF(E43&lt;0.8,"cb_ أرخص بوضوح",IF(E43&lt;=1.05,"تقارب","canboso أرخص")))</f>
        <v>cb_ أرخص بوضوح</v>
      </c>
    </row>
    <row r="44" customFormat="false" ht="21.75" hidden="false" customHeight="true" outlineLevel="0" collapsed="false">
      <c r="B44" s="7" t="s">
        <v>852</v>
      </c>
      <c r="C44" s="8" t="n">
        <v>2.01</v>
      </c>
      <c r="D44" s="8" t="n">
        <v>2.63</v>
      </c>
      <c r="E44" s="18" t="n">
        <f aca="false">IFERROR(C44/D44,"")</f>
        <v>0.76425855513308</v>
      </c>
      <c r="F44" s="7" t="str">
        <f aca="false">IF(E44="","",IF(E44&lt;0.8,"cb_ أرخص بوضوح",IF(E44&lt;=1.05,"تقارب","canboso أرخص")))</f>
        <v>cb_ أرخص بوضوح</v>
      </c>
    </row>
    <row r="45" customFormat="false" ht="21.75" hidden="false" customHeight="true" outlineLevel="0" collapsed="false">
      <c r="B45" s="4" t="s">
        <v>856</v>
      </c>
      <c r="C45" s="5" t="n">
        <v>0.5</v>
      </c>
      <c r="D45" s="5" t="n">
        <v>0.73</v>
      </c>
      <c r="E45" s="17" t="n">
        <f aca="false">IFERROR(C45/D45,"")</f>
        <v>0.684931506849315</v>
      </c>
      <c r="F45" s="4" t="str">
        <f aca="false">IF(E45="","",IF(E45&lt;0.8,"cb_ أرخص بوضوح",IF(E45&lt;=1.05,"تقارب","canboso أرخص")))</f>
        <v>cb_ أرخص بوضوح</v>
      </c>
    </row>
    <row r="46" customFormat="false" ht="21.75" hidden="false" customHeight="true" outlineLevel="0" collapsed="false">
      <c r="B46" s="7" t="s">
        <v>504</v>
      </c>
      <c r="C46" s="8" t="n">
        <v>21.44</v>
      </c>
      <c r="D46" s="8" t="n">
        <v>19.01</v>
      </c>
      <c r="E46" s="18" t="n">
        <f aca="false">IFERROR(C46/D46,"")</f>
        <v>1.12782745923198</v>
      </c>
      <c r="F46" s="7" t="str">
        <f aca="false">IF(E46="","",IF(E46&lt;0.8,"cb_ أرخص بوضوح",IF(E46&lt;=1.05,"تقارب","canboso أرخص")))</f>
        <v>canboso أرخص</v>
      </c>
    </row>
    <row r="47" customFormat="false" ht="21.75" hidden="false" customHeight="true" outlineLevel="0" collapsed="false">
      <c r="B47" s="4" t="s">
        <v>508</v>
      </c>
      <c r="C47" s="5" t="n">
        <v>7.55</v>
      </c>
      <c r="D47" s="5" t="n">
        <v>7.58</v>
      </c>
      <c r="E47" s="17" t="n">
        <f aca="false">IFERROR(C47/D47,"")</f>
        <v>0.996042216358839</v>
      </c>
      <c r="F47" s="4" t="str">
        <f aca="false">IF(E47="","",IF(E47&lt;0.8,"cb_ أرخص بوضوح",IF(E47&lt;=1.05,"تقارب","canboso أرخص")))</f>
        <v>تقارب</v>
      </c>
    </row>
    <row r="48" customFormat="false" ht="21.75" hidden="false" customHeight="true" outlineLevel="0" collapsed="false">
      <c r="B48" s="7" t="s">
        <v>511</v>
      </c>
      <c r="C48" s="8" t="n">
        <v>12.3</v>
      </c>
      <c r="D48" s="8" t="n">
        <v>11.01</v>
      </c>
      <c r="E48" s="18" t="n">
        <f aca="false">IFERROR(C48/D48,"")</f>
        <v>1.11716621253406</v>
      </c>
      <c r="F48" s="7" t="str">
        <f aca="false">IF(E48="","",IF(E48&lt;0.8,"cb_ أرخص بوضوح",IF(E48&lt;=1.05,"تقارب","canboso أرخص")))</f>
        <v>canboso أرخص</v>
      </c>
    </row>
    <row r="49" customFormat="false" ht="21.75" hidden="false" customHeight="true" outlineLevel="0" collapsed="false">
      <c r="B49" s="4" t="s">
        <v>306</v>
      </c>
      <c r="C49" s="5" t="n">
        <v>7.28</v>
      </c>
      <c r="D49" s="5" t="n">
        <v>7.58</v>
      </c>
      <c r="E49" s="17" t="n">
        <f aca="false">IFERROR(C49/D49,"")</f>
        <v>0.960422163588391</v>
      </c>
      <c r="F49" s="4" t="str">
        <f aca="false">IF(E49="","",IF(E49&lt;0.8,"cb_ أرخص بوضوح",IF(E49&lt;=1.05,"تقارب","canboso أرخص")))</f>
        <v>تقارب</v>
      </c>
    </row>
    <row r="50" customFormat="false" ht="21.75" hidden="false" customHeight="true" outlineLevel="0" collapsed="false">
      <c r="B50" s="7" t="s">
        <v>310</v>
      </c>
      <c r="C50" s="8" t="n">
        <v>12.3</v>
      </c>
      <c r="D50" s="8" t="n">
        <v>9.63</v>
      </c>
      <c r="E50" s="18" t="n">
        <f aca="false">IFERROR(C50/D50,"")</f>
        <v>1.27725856697819</v>
      </c>
      <c r="F50" s="7" t="str">
        <f aca="false">IF(E50="","",IF(E50&lt;0.8,"cb_ أرخص بوضوح",IF(E50&lt;=1.05,"تقارب","canboso أرخص")))</f>
        <v>canboso أرخص</v>
      </c>
    </row>
    <row r="51" customFormat="false" ht="21.75" hidden="false" customHeight="true" outlineLevel="0" collapsed="false">
      <c r="B51" s="4" t="s">
        <v>313</v>
      </c>
      <c r="C51" s="5" t="n">
        <v>5.45</v>
      </c>
      <c r="D51" s="5" t="n">
        <v>4.6</v>
      </c>
      <c r="E51" s="17" t="n">
        <f aca="false">IFERROR(C51/D51,"")</f>
        <v>1.18478260869565</v>
      </c>
      <c r="F51" s="4" t="str">
        <f aca="false">IF(E51="","",IF(E51&lt;0.8,"cb_ أرخص بوضوح",IF(E51&lt;=1.05,"تقارب","canboso أرخص")))</f>
        <v>canboso أرخص</v>
      </c>
    </row>
    <row r="52" customFormat="false" ht="21.75" hidden="false" customHeight="true" outlineLevel="0" collapsed="false">
      <c r="B52" s="7" t="s">
        <v>594</v>
      </c>
      <c r="C52" s="8" t="n">
        <v>0.75</v>
      </c>
      <c r="D52" s="8" t="n">
        <v>1.11</v>
      </c>
      <c r="E52" s="18" t="n">
        <f aca="false">IFERROR(C52/D52,"")</f>
        <v>0.675675675675676</v>
      </c>
      <c r="F52" s="7" t="str">
        <f aca="false">IF(E52="","",IF(E52&lt;0.8,"cb_ أرخص بوضوح",IF(E52&lt;=1.05,"تقارب","canboso أرخص")))</f>
        <v>cb_ أرخص بوضوح</v>
      </c>
    </row>
    <row r="53" customFormat="false" ht="21.75" hidden="false" customHeight="true" outlineLevel="0" collapsed="false">
      <c r="B53" s="4" t="s">
        <v>598</v>
      </c>
      <c r="C53" s="5" t="n">
        <v>0.75</v>
      </c>
      <c r="D53" s="5" t="n">
        <v>1.11</v>
      </c>
      <c r="E53" s="17" t="n">
        <f aca="false">IFERROR(C53/D53,"")</f>
        <v>0.675675675675676</v>
      </c>
      <c r="F53" s="4" t="str">
        <f aca="false">IF(E53="","",IF(E53&lt;0.8,"cb_ أرخص بوضوح",IF(E53&lt;=1.05,"تقارب","canboso أرخص")))</f>
        <v>cb_ أرخص بوضوح</v>
      </c>
    </row>
    <row r="54" customFormat="false" ht="21.75" hidden="false" customHeight="true" outlineLevel="0" collapsed="false">
      <c r="B54" s="7" t="s">
        <v>434</v>
      </c>
      <c r="C54" s="8" t="n">
        <v>3.89</v>
      </c>
      <c r="D54" s="8" t="n">
        <v>4.92</v>
      </c>
      <c r="E54" s="18" t="n">
        <f aca="false">IFERROR(C54/D54,"")</f>
        <v>0.790650406504065</v>
      </c>
      <c r="F54" s="7" t="str">
        <f aca="false">IF(E54="","",IF(E54&lt;0.8,"cb_ أرخص بوضوح",IF(E54&lt;=1.05,"تقارب","canboso أرخص")))</f>
        <v>cb_ أرخص بوضوح</v>
      </c>
    </row>
    <row r="55" customFormat="false" ht="21.75" hidden="false" customHeight="true" outlineLevel="0" collapsed="false">
      <c r="B55" s="4" t="s">
        <v>608</v>
      </c>
      <c r="C55" s="5" t="n">
        <v>3.21</v>
      </c>
      <c r="D55" s="5" t="n">
        <v>3.77</v>
      </c>
      <c r="E55" s="17" t="n">
        <f aca="false">IFERROR(C55/D55,"")</f>
        <v>0.851458885941645</v>
      </c>
      <c r="F55" s="4" t="str">
        <f aca="false">IF(E55="","",IF(E55&lt;0.8,"cb_ أرخص بوضوح",IF(E55&lt;=1.05,"تقارب","canboso أرخص")))</f>
        <v>تقارب</v>
      </c>
    </row>
    <row r="56" customFormat="false" ht="21.75" hidden="false" customHeight="true" outlineLevel="0" collapsed="false">
      <c r="B56" s="7" t="s">
        <v>612</v>
      </c>
      <c r="C56" s="8" t="n">
        <v>6.87</v>
      </c>
      <c r="D56" s="8" t="n">
        <v>6.44</v>
      </c>
      <c r="E56" s="18" t="n">
        <f aca="false">IFERROR(C56/D56,"")</f>
        <v>1.0667701863354</v>
      </c>
      <c r="F56" s="7" t="str">
        <f aca="false">IF(E56="","",IF(E56&lt;0.8,"cb_ أرخص بوضوح",IF(E56&lt;=1.05,"تقارب","canboso أرخص")))</f>
        <v>canboso أرخص</v>
      </c>
    </row>
    <row r="57" customFormat="false" ht="21.75" hidden="false" customHeight="true" outlineLevel="0" collapsed="false">
      <c r="B57" s="4" t="s">
        <v>614</v>
      </c>
      <c r="C57" s="5" t="n">
        <v>10.06</v>
      </c>
      <c r="D57" s="5" t="n">
        <v>8.73</v>
      </c>
      <c r="E57" s="17" t="n">
        <f aca="false">IFERROR(C57/D57,"")</f>
        <v>1.15234822451317</v>
      </c>
      <c r="F57" s="4" t="str">
        <f aca="false">IF(E57="","",IF(E57&lt;0.8,"cb_ أرخص بوضوح",IF(E57&lt;=1.05,"تقارب","canboso أرخص")))</f>
        <v>canboso أرخص</v>
      </c>
    </row>
    <row r="58" customFormat="false" ht="21.75" hidden="false" customHeight="true" outlineLevel="0" collapsed="false">
      <c r="B58" s="7" t="s">
        <v>226</v>
      </c>
      <c r="C58" s="8" t="n">
        <v>5.73</v>
      </c>
      <c r="D58" s="8" t="n">
        <v>4.63</v>
      </c>
      <c r="E58" s="18" t="n">
        <f aca="false">IFERROR(C58/D58,"")</f>
        <v>1.23758099352052</v>
      </c>
      <c r="F58" s="7" t="str">
        <f aca="false">IF(E58="","",IF(E58&lt;0.8,"cb_ أرخص بوضوح",IF(E58&lt;=1.05,"تقارب","canboso أرخص")))</f>
        <v>canboso أرخص</v>
      </c>
    </row>
    <row r="59" customFormat="false" ht="21.75" hidden="false" customHeight="true" outlineLevel="0" collapsed="false">
      <c r="B59" s="4" t="s">
        <v>230</v>
      </c>
      <c r="C59" s="5" t="n">
        <v>8.46</v>
      </c>
      <c r="D59" s="5" t="n">
        <v>6.94</v>
      </c>
      <c r="E59" s="17" t="n">
        <f aca="false">IFERROR(C59/D59,"")</f>
        <v>1.21902017291066</v>
      </c>
      <c r="F59" s="4" t="str">
        <f aca="false">IF(E59="","",IF(E59&lt;0.8,"cb_ أرخص بوضوح",IF(E59&lt;=1.05,"تقارب","canboso أرخص")))</f>
        <v>canboso أرخص</v>
      </c>
    </row>
    <row r="60" customFormat="false" ht="21.75" hidden="false" customHeight="true" outlineLevel="0" collapsed="false">
      <c r="B60" s="7" t="s">
        <v>233</v>
      </c>
      <c r="C60" s="8" t="n">
        <v>13.04</v>
      </c>
      <c r="D60" s="8" t="n">
        <v>10.04</v>
      </c>
      <c r="E60" s="18" t="n">
        <f aca="false">IFERROR(C60/D60,"")</f>
        <v>1.29880478087649</v>
      </c>
      <c r="F60" s="7" t="str">
        <f aca="false">IF(E60="","",IF(E60&lt;0.8,"cb_ أرخص بوضوح",IF(E60&lt;=1.05,"تقارب","canboso أرخص")))</f>
        <v>canboso أرخص</v>
      </c>
    </row>
    <row r="61" customFormat="false" ht="21.75" hidden="false" customHeight="true" outlineLevel="0" collapsed="false">
      <c r="B61" s="4" t="s">
        <v>646</v>
      </c>
      <c r="C61" s="5" t="n">
        <v>1.23</v>
      </c>
      <c r="D61" s="5" t="n">
        <v>1.11</v>
      </c>
      <c r="E61" s="17" t="n">
        <f aca="false">IFERROR(C61/D61,"")</f>
        <v>1.10810810810811</v>
      </c>
      <c r="F61" s="4" t="str">
        <f aca="false">IF(E61="","",IF(E61&lt;0.8,"cb_ أرخص بوضوح",IF(E61&lt;=1.05,"تقارب","canboso أرخص")))</f>
        <v>canboso أرخص</v>
      </c>
    </row>
    <row r="62" customFormat="false" ht="21.75" hidden="false" customHeight="true" outlineLevel="0" collapsed="false">
      <c r="B62" s="7" t="s">
        <v>655</v>
      </c>
      <c r="C62" s="8" t="n">
        <v>1.23</v>
      </c>
      <c r="D62" s="8" t="n">
        <v>1.49</v>
      </c>
      <c r="E62" s="18" t="n">
        <f aca="false">IFERROR(C62/D62,"")</f>
        <v>0.825503355704698</v>
      </c>
      <c r="F62" s="7" t="str">
        <f aca="false">IF(E62="","",IF(E62&lt;0.8,"cb_ أرخص بوضوح",IF(E62&lt;=1.05,"تقارب","canboso أرخص")))</f>
        <v>تقارب</v>
      </c>
    </row>
    <row r="63" customFormat="false" ht="21.75" hidden="false" customHeight="true" outlineLevel="0" collapsed="false">
      <c r="B63" s="4" t="s">
        <v>294</v>
      </c>
      <c r="C63" s="5" t="n">
        <v>1.77</v>
      </c>
      <c r="D63" s="5" t="n">
        <v>1.87</v>
      </c>
      <c r="E63" s="17" t="n">
        <f aca="false">IFERROR(C63/D63,"")</f>
        <v>0.946524064171123</v>
      </c>
      <c r="F63" s="4" t="str">
        <f aca="false">IF(E63="","",IF(E63&lt;0.8,"cb_ أرخص بوضوح",IF(E63&lt;=1.05,"تقارب","canboso أرخص")))</f>
        <v>تقارب</v>
      </c>
    </row>
    <row r="64" customFormat="false" ht="21.75" hidden="false" customHeight="true" outlineLevel="0" collapsed="false">
      <c r="B64" s="7" t="s">
        <v>297</v>
      </c>
      <c r="C64" s="8" t="n">
        <v>2.21</v>
      </c>
      <c r="D64" s="8" t="n">
        <v>2.63</v>
      </c>
      <c r="E64" s="18" t="n">
        <f aca="false">IFERROR(C64/D64,"")</f>
        <v>0.840304182509506</v>
      </c>
      <c r="F64" s="7" t="str">
        <f aca="false">IF(E64="","",IF(E64&lt;0.8,"cb_ أرخص بوضوح",IF(E64&lt;=1.05,"تقارب","canboso أرخص")))</f>
        <v>تقارب</v>
      </c>
    </row>
    <row r="65" customFormat="false" ht="21.75" hidden="false" customHeight="true" outlineLevel="0" collapsed="false">
      <c r="B65" s="4" t="s">
        <v>670</v>
      </c>
      <c r="C65" s="5" t="n">
        <v>1.48</v>
      </c>
      <c r="D65" s="5" t="n">
        <v>1.87</v>
      </c>
      <c r="E65" s="17" t="n">
        <f aca="false">IFERROR(C65/D65,"")</f>
        <v>0.79144385026738</v>
      </c>
      <c r="F65" s="4" t="str">
        <f aca="false">IF(E65="","",IF(E65&lt;0.8,"cb_ أرخص بوضوح",IF(E65&lt;=1.05,"تقارب","canboso أرخص")))</f>
        <v>cb_ أرخص بوضوح</v>
      </c>
    </row>
    <row r="66" customFormat="false" ht="21.75" hidden="false" customHeight="true" outlineLevel="0" collapsed="false">
      <c r="B66" s="7" t="s">
        <v>673</v>
      </c>
      <c r="C66" s="8" t="n">
        <v>1.57</v>
      </c>
      <c r="D66" s="8" t="n">
        <v>1.87</v>
      </c>
      <c r="E66" s="18" t="n">
        <f aca="false">IFERROR(C66/D66,"")</f>
        <v>0.839572192513369</v>
      </c>
      <c r="F66" s="7" t="str">
        <f aca="false">IF(E66="","",IF(E66&lt;0.8,"cb_ أرخص بوضوح",IF(E66&lt;=1.05,"تقارب","canboso أرخص")))</f>
        <v>تقارب</v>
      </c>
    </row>
    <row r="67" customFormat="false" ht="21.75" hidden="false" customHeight="true" outlineLevel="0" collapsed="false">
      <c r="B67" s="4" t="s">
        <v>676</v>
      </c>
      <c r="C67" s="5" t="n">
        <v>2.21</v>
      </c>
      <c r="D67" s="5" t="n">
        <v>2.25</v>
      </c>
      <c r="E67" s="17" t="n">
        <f aca="false">IFERROR(C67/D67,"")</f>
        <v>0.982222222222222</v>
      </c>
      <c r="F67" s="4" t="str">
        <f aca="false">IF(E67="","",IF(E67&lt;0.8,"cb_ أرخص بوضوح",IF(E67&lt;=1.05,"تقارب","canboso أرخص")))</f>
        <v>تقارب</v>
      </c>
    </row>
    <row r="68" customFormat="false" ht="21.75" hidden="false" customHeight="true" outlineLevel="0" collapsed="false">
      <c r="B68" s="7" t="s">
        <v>682</v>
      </c>
      <c r="C68" s="8" t="n">
        <v>1.72</v>
      </c>
      <c r="D68" s="8" t="n">
        <v>1.87</v>
      </c>
      <c r="E68" s="18" t="n">
        <f aca="false">IFERROR(C68/D68,"")</f>
        <v>0.919786096256684</v>
      </c>
      <c r="F68" s="7" t="str">
        <f aca="false">IF(E68="","",IF(E68&lt;0.8,"cb_ أرخص بوضوح",IF(E68&lt;=1.05,"تقارب","canboso أرخص")))</f>
        <v>تقارب</v>
      </c>
    </row>
    <row r="69" customFormat="false" ht="21.75" hidden="false" customHeight="true" outlineLevel="0" collapsed="false">
      <c r="B69" s="4" t="s">
        <v>824</v>
      </c>
      <c r="C69" s="5" t="n">
        <v>3.21</v>
      </c>
      <c r="D69" s="5" t="n">
        <v>3.77</v>
      </c>
      <c r="E69" s="17" t="n">
        <f aca="false">IFERROR(C69/D69,"")</f>
        <v>0.851458885941645</v>
      </c>
      <c r="F69" s="4" t="str">
        <f aca="false">IF(E69="","",IF(E69&lt;0.8,"cb_ أرخص بوضوح",IF(E69&lt;=1.05,"تقارب","canboso أرخص")))</f>
        <v>تقارب</v>
      </c>
    </row>
    <row r="70" customFormat="false" ht="21.75" hidden="false" customHeight="true" outlineLevel="0" collapsed="false">
      <c r="B70" s="7" t="s">
        <v>828</v>
      </c>
      <c r="C70" s="8" t="n">
        <v>0.5</v>
      </c>
      <c r="D70" s="8" t="n">
        <v>1.11</v>
      </c>
      <c r="E70" s="18" t="n">
        <f aca="false">IFERROR(C70/D70,"")</f>
        <v>0.45045045045045</v>
      </c>
      <c r="F70" s="7" t="str">
        <f aca="false">IF(E70="","",IF(E70&lt;0.8,"cb_ أرخص بوضوح",IF(E70&lt;=1.05,"تقارب","canboso أرخص")))</f>
        <v>cb_ أرخص بوضوح</v>
      </c>
    </row>
    <row r="71" customFormat="false" ht="21.75" hidden="false" customHeight="true" outlineLevel="0" collapsed="false">
      <c r="B71" s="4" t="s">
        <v>616</v>
      </c>
      <c r="C71" s="5" t="n">
        <v>0.75</v>
      </c>
      <c r="D71" s="5" t="n">
        <v>1.11</v>
      </c>
      <c r="E71" s="17" t="n">
        <f aca="false">IFERROR(C71/D71,"")</f>
        <v>0.675675675675676</v>
      </c>
      <c r="F71" s="4" t="str">
        <f aca="false">IF(E71="","",IF(E71&lt;0.8,"cb_ أرخص بوضوح",IF(E71&lt;=1.05,"تقارب","canboso أرخص")))</f>
        <v>cb_ أرخص بوضوح</v>
      </c>
    </row>
    <row r="72" customFormat="false" ht="21.75" hidden="false" customHeight="true" outlineLevel="0" collapsed="false">
      <c r="B72" s="7" t="s">
        <v>868</v>
      </c>
      <c r="C72" s="8" t="n">
        <v>8.69</v>
      </c>
      <c r="D72" s="8" t="n">
        <v>8.34</v>
      </c>
      <c r="E72" s="18" t="n">
        <f aca="false">IFERROR(C72/D72,"")</f>
        <v>1.04196642685851</v>
      </c>
      <c r="F72" s="7" t="str">
        <f aca="false">IF(E72="","",IF(E72&lt;0.8,"cb_ أرخص بوضوح",IF(E72&lt;=1.05,"تقارب","canboso أرخص")))</f>
        <v>تقارب</v>
      </c>
    </row>
    <row r="73" customFormat="false" ht="21.75" hidden="false" customHeight="true" outlineLevel="0" collapsed="false">
      <c r="B73" s="4" t="s">
        <v>618</v>
      </c>
      <c r="C73" s="5" t="n">
        <v>0.75</v>
      </c>
      <c r="D73" s="5" t="n">
        <v>1.11</v>
      </c>
      <c r="E73" s="17" t="n">
        <f aca="false">IFERROR(C73/D73,"")</f>
        <v>0.675675675675676</v>
      </c>
      <c r="F73" s="4" t="str">
        <f aca="false">IF(E73="","",IF(E73&lt;0.8,"cb_ أرخص بوضوح",IF(E73&lt;=1.05,"تقارب","canboso أرخص")))</f>
        <v>cb_ أرخص بوضوح</v>
      </c>
    </row>
    <row r="74" customFormat="false" ht="21.75" hidden="false" customHeight="true" outlineLevel="0" collapsed="false">
      <c r="B74" s="7" t="s">
        <v>560</v>
      </c>
      <c r="C74" s="8" t="n">
        <v>7.32</v>
      </c>
      <c r="D74" s="8" t="n">
        <v>7.2</v>
      </c>
      <c r="E74" s="18" t="n">
        <f aca="false">IFERROR(C74/D74,"")</f>
        <v>1.01666666666667</v>
      </c>
      <c r="F74" s="7" t="str">
        <f aca="false">IF(E74="","",IF(E74&lt;0.8,"cb_ أرخص بوضوح",IF(E74&lt;=1.05,"تقارب","canboso أرخص")))</f>
        <v>تقارب</v>
      </c>
    </row>
    <row r="75" customFormat="false" ht="21.75" hidden="false" customHeight="true" outlineLevel="0" collapsed="false">
      <c r="B75" s="4" t="s">
        <v>563</v>
      </c>
      <c r="C75" s="5" t="n">
        <v>10.06</v>
      </c>
      <c r="D75" s="5" t="n">
        <v>9.49</v>
      </c>
      <c r="E75" s="17" t="n">
        <f aca="false">IFERROR(C75/D75,"")</f>
        <v>1.06006322444679</v>
      </c>
      <c r="F75" s="4" t="str">
        <f aca="false">IF(E75="","",IF(E75&lt;0.8,"cb_ أرخص بوضوح",IF(E75&lt;=1.05,"تقارب","canboso أرخص")))</f>
        <v>canboso أرخص</v>
      </c>
    </row>
    <row r="76" customFormat="false" ht="21.75" hidden="false" customHeight="true" outlineLevel="0" collapsed="false">
      <c r="B76" s="7" t="s">
        <v>566</v>
      </c>
      <c r="C76" s="8" t="n">
        <v>1.48</v>
      </c>
      <c r="D76" s="8" t="n">
        <v>1.49</v>
      </c>
      <c r="E76" s="18" t="n">
        <f aca="false">IFERROR(C76/D76,"")</f>
        <v>0.993288590604027</v>
      </c>
      <c r="F76" s="7" t="str">
        <f aca="false">IF(E76="","",IF(E76&lt;0.8,"cb_ أرخص بوضوح",IF(E76&lt;=1.05,"تقارب","canboso أرخص")))</f>
        <v>تقارب</v>
      </c>
    </row>
    <row r="77" customFormat="false" ht="21.75" hidden="false" customHeight="true" outlineLevel="0" collapsed="false">
      <c r="B77" s="4" t="s">
        <v>569</v>
      </c>
      <c r="C77" s="5" t="n">
        <v>4.58</v>
      </c>
      <c r="D77" s="5" t="n">
        <v>4.92</v>
      </c>
      <c r="E77" s="17" t="n">
        <f aca="false">IFERROR(C77/D77,"")</f>
        <v>0.930894308943089</v>
      </c>
      <c r="F77" s="4" t="str">
        <f aca="false">IF(E77="","",IF(E77&lt;0.8,"cb_ أرخص بوضوح",IF(E77&lt;=1.05,"تقارب","canboso أرخص")))</f>
        <v>تقارب</v>
      </c>
    </row>
    <row r="78" customFormat="false" ht="21.75" hidden="false" customHeight="true" outlineLevel="0" collapsed="false">
      <c r="B78" s="7" t="s">
        <v>524</v>
      </c>
      <c r="C78" s="8" t="n">
        <v>6.87</v>
      </c>
      <c r="D78" s="8" t="n">
        <v>7.58</v>
      </c>
      <c r="E78" s="18" t="n">
        <f aca="false">IFERROR(C78/D78,"")</f>
        <v>0.906332453825858</v>
      </c>
      <c r="F78" s="7" t="str">
        <f aca="false">IF(E78="","",IF(E78&lt;0.8,"cb_ أرخص بوضوح",IF(E78&lt;=1.05,"تقارب","canboso أرخص")))</f>
        <v>تقارب</v>
      </c>
    </row>
    <row r="79" customFormat="false" ht="21.75" hidden="false" customHeight="true" outlineLevel="0" collapsed="false">
      <c r="B79" s="4" t="s">
        <v>530</v>
      </c>
      <c r="C79" s="5" t="n">
        <v>3.21</v>
      </c>
      <c r="D79" s="5" t="n">
        <v>3.77</v>
      </c>
      <c r="E79" s="17" t="n">
        <f aca="false">IFERROR(C79/D79,"")</f>
        <v>0.851458885941645</v>
      </c>
      <c r="F79" s="4" t="str">
        <f aca="false">IF(E79="","",IF(E79&lt;0.8,"cb_ أرخص بوضوح",IF(E79&lt;=1.05,"تقارب","canboso أرخص")))</f>
        <v>تقارب</v>
      </c>
    </row>
    <row r="80" customFormat="false" ht="21.75" hidden="false" customHeight="true" outlineLevel="0" collapsed="false">
      <c r="B80" s="7" t="s">
        <v>877</v>
      </c>
      <c r="C80" s="8" t="n">
        <v>3.66</v>
      </c>
      <c r="D80" s="8" t="n">
        <v>4.54</v>
      </c>
      <c r="E80" s="18" t="n">
        <f aca="false">IFERROR(C80/D80,"")</f>
        <v>0.806167400881057</v>
      </c>
      <c r="F80" s="7" t="str">
        <f aca="false">IF(E80="","",IF(E80&lt;0.8,"cb_ أرخص بوضوح",IF(E80&lt;=1.05,"تقارب","canboso أرخص")))</f>
        <v>تقارب</v>
      </c>
    </row>
    <row r="81" customFormat="false" ht="21.75" hidden="false" customHeight="true" outlineLevel="0" collapsed="false">
      <c r="B81" s="4" t="s">
        <v>880</v>
      </c>
      <c r="C81" s="5" t="n">
        <v>3.66</v>
      </c>
      <c r="D81" s="5" t="n">
        <v>4.54</v>
      </c>
      <c r="E81" s="17" t="n">
        <f aca="false">IFERROR(C81/D81,"")</f>
        <v>0.806167400881057</v>
      </c>
      <c r="F81" s="4" t="str">
        <f aca="false">IF(E81="","",IF(E81&lt;0.8,"cb_ أرخص بوضوح",IF(E81&lt;=1.05,"تقارب","canboso أرخص")))</f>
        <v>تقارب</v>
      </c>
    </row>
    <row r="82" customFormat="false" ht="21.75" hidden="false" customHeight="true" outlineLevel="0" collapsed="false">
      <c r="B82" s="7" t="s">
        <v>223</v>
      </c>
      <c r="C82" s="8" t="n">
        <v>12.81</v>
      </c>
      <c r="D82" s="8" t="n">
        <v>10.46</v>
      </c>
      <c r="E82" s="18" t="n">
        <f aca="false">IFERROR(C82/D82,"")</f>
        <v>1.22466539196941</v>
      </c>
      <c r="F82" s="7" t="str">
        <f aca="false">IF(E82="","",IF(E82&lt;0.8,"cb_ أرخص بوضوح",IF(E82&lt;=1.05,"تقارب","canboso أرخص")))</f>
        <v>canboso أرخص</v>
      </c>
    </row>
    <row r="83" customFormat="false" ht="21.75" hidden="false" customHeight="true" outlineLevel="0" collapsed="false">
      <c r="B83" s="4" t="s">
        <v>217</v>
      </c>
      <c r="C83" s="5" t="n">
        <v>3.21</v>
      </c>
      <c r="D83" s="5" t="n">
        <v>4.92</v>
      </c>
      <c r="E83" s="17" t="n">
        <f aca="false">IFERROR(C83/D83,"")</f>
        <v>0.652439024390244</v>
      </c>
      <c r="F83" s="4" t="str">
        <f aca="false">IF(E83="","",IF(E83&lt;0.8,"cb_ أرخص بوضوح",IF(E83&lt;=1.05,"تقارب","canboso أرخص")))</f>
        <v>cb_ أرخص بوضوح</v>
      </c>
    </row>
    <row r="84" customFormat="false" ht="21.75" hidden="false" customHeight="true" outlineLevel="0" collapsed="false">
      <c r="B84" s="7" t="s">
        <v>258</v>
      </c>
      <c r="C84" s="8" t="n">
        <v>1.48</v>
      </c>
      <c r="D84" s="8" t="n">
        <v>1.87</v>
      </c>
      <c r="E84" s="18" t="n">
        <f aca="false">IFERROR(C84/D84,"")</f>
        <v>0.79144385026738</v>
      </c>
      <c r="F84" s="7" t="str">
        <f aca="false">IF(E84="","",IF(E84&lt;0.8,"cb_ أرخص بوضوح",IF(E84&lt;=1.05,"تقارب","canboso أرخص")))</f>
        <v>cb_ أرخص بوضوح</v>
      </c>
    </row>
    <row r="85" customFormat="false" ht="21.75" hidden="false" customHeight="true" outlineLevel="0" collapsed="false">
      <c r="B85" s="4" t="s">
        <v>261</v>
      </c>
      <c r="C85" s="5" t="n">
        <v>1.72</v>
      </c>
      <c r="D85" s="5" t="n">
        <v>2.25</v>
      </c>
      <c r="E85" s="17" t="n">
        <f aca="false">IFERROR(C85/D85,"")</f>
        <v>0.764444444444445</v>
      </c>
      <c r="F85" s="4" t="str">
        <f aca="false">IF(E85="","",IF(E85&lt;0.8,"cb_ أرخص بوضوح",IF(E85&lt;=1.05,"تقارب","canboso أرخص")))</f>
        <v>cb_ أرخص بوضوح</v>
      </c>
    </row>
    <row r="86" customFormat="false" ht="21.75" hidden="false" customHeight="true" outlineLevel="0" collapsed="false">
      <c r="B86" s="7" t="s">
        <v>264</v>
      </c>
      <c r="C86" s="8" t="n">
        <v>1.96</v>
      </c>
      <c r="D86" s="8" t="n">
        <v>2.25</v>
      </c>
      <c r="E86" s="18" t="n">
        <f aca="false">IFERROR(C86/D86,"")</f>
        <v>0.871111111111111</v>
      </c>
      <c r="F86" s="7" t="str">
        <f aca="false">IF(E86="","",IF(E86&lt;0.8,"cb_ أرخص بوضوح",IF(E86&lt;=1.05,"تقارب","canboso أرخص")))</f>
        <v>تقارب</v>
      </c>
    </row>
    <row r="87" customFormat="false" ht="21.75" hidden="false" customHeight="true" outlineLevel="0" collapsed="false">
      <c r="B87" s="4" t="s">
        <v>279</v>
      </c>
      <c r="C87" s="5" t="n">
        <v>4.12</v>
      </c>
      <c r="D87" s="5" t="n">
        <v>3.77</v>
      </c>
      <c r="E87" s="17" t="n">
        <f aca="false">IFERROR(C87/D87,"")</f>
        <v>1.09283819628647</v>
      </c>
      <c r="F87" s="4" t="str">
        <f aca="false">IF(E87="","",IF(E87&lt;0.8,"cb_ أرخص بوضوح",IF(E87&lt;=1.05,"تقارب","canboso أرخص")))</f>
        <v>canboso أرخص</v>
      </c>
    </row>
    <row r="88" customFormat="false" ht="21.75" hidden="false" customHeight="true" outlineLevel="0" collapsed="false">
      <c r="B88" s="7" t="s">
        <v>518</v>
      </c>
      <c r="C88" s="8" t="n">
        <v>12.76</v>
      </c>
      <c r="D88" s="8" t="n">
        <v>10.79</v>
      </c>
      <c r="E88" s="18" t="n">
        <f aca="false">IFERROR(C88/D88,"")</f>
        <v>1.18257645968489</v>
      </c>
      <c r="F88" s="7" t="str">
        <f aca="false">IF(E88="","",IF(E88&lt;0.8,"cb_ أرخص بوضوح",IF(E88&lt;=1.05,"تقارب","canboso أرخص")))</f>
        <v>canboso أرخص</v>
      </c>
    </row>
    <row r="89" customFormat="false" ht="21.75" hidden="false" customHeight="true" outlineLevel="0" collapsed="false">
      <c r="B89" s="4" t="s">
        <v>520</v>
      </c>
      <c r="C89" s="5" t="n">
        <v>5.45</v>
      </c>
      <c r="D89" s="5" t="n">
        <v>4.6</v>
      </c>
      <c r="E89" s="17" t="n">
        <f aca="false">IFERROR(C89/D89,"")</f>
        <v>1.18478260869565</v>
      </c>
      <c r="F89" s="4" t="str">
        <f aca="false">IF(E89="","",IF(E89&lt;0.8,"cb_ أرخص بوضوح",IF(E89&lt;=1.05,"تقارب","canboso أرخص")))</f>
        <v>canboso أرخص</v>
      </c>
    </row>
    <row r="90" customFormat="false" ht="21.75" hidden="false" customHeight="true" outlineLevel="0" collapsed="false">
      <c r="B90" s="7" t="s">
        <v>522</v>
      </c>
      <c r="C90" s="8" t="n">
        <v>31.95</v>
      </c>
      <c r="D90" s="8" t="n">
        <v>27.01</v>
      </c>
      <c r="E90" s="18" t="n">
        <f aca="false">IFERROR(C90/D90,"")</f>
        <v>1.18289522399111</v>
      </c>
      <c r="F90" s="7" t="str">
        <f aca="false">IF(E90="","",IF(E90&lt;0.8,"cb_ أرخص بوضوح",IF(E90&lt;=1.05,"تقارب","canboso أرخص")))</f>
        <v>canboso أرخص</v>
      </c>
    </row>
    <row r="91" customFormat="false" ht="21.75" hidden="false" customHeight="true" outlineLevel="0" collapsed="false">
      <c r="B91" s="4" t="s">
        <v>533</v>
      </c>
      <c r="C91" s="5" t="n">
        <v>18.24</v>
      </c>
      <c r="D91" s="5" t="n">
        <v>15.48</v>
      </c>
      <c r="E91" s="17" t="n">
        <f aca="false">IFERROR(C91/D91,"")</f>
        <v>1.17829457364341</v>
      </c>
      <c r="F91" s="4" t="str">
        <f aca="false">IF(E91="","",IF(E91&lt;0.8,"cb_ أرخص بوضوح",IF(E91&lt;=1.05,"تقارب","canboso أرخص")))</f>
        <v>canboso أرخص</v>
      </c>
    </row>
    <row r="92" customFormat="false" ht="21.75" hidden="false" customHeight="true" outlineLevel="0" collapsed="false">
      <c r="B92" s="7" t="s">
        <v>796</v>
      </c>
      <c r="C92" s="8" t="n">
        <v>5.03</v>
      </c>
      <c r="D92" s="8" t="n">
        <v>5.3</v>
      </c>
      <c r="E92" s="18" t="n">
        <f aca="false">IFERROR(C92/D92,"")</f>
        <v>0.949056603773585</v>
      </c>
      <c r="F92" s="7" t="str">
        <f aca="false">IF(E92="","",IF(E92&lt;0.8,"cb_ أرخص بوضوح",IF(E92&lt;=1.05,"تقارب","canboso أرخص")))</f>
        <v>تقارب</v>
      </c>
    </row>
    <row r="93" customFormat="false" ht="21.75" hidden="false" customHeight="true" outlineLevel="0" collapsed="false">
      <c r="B93" s="4" t="s">
        <v>799</v>
      </c>
      <c r="C93" s="5" t="n">
        <v>95.97</v>
      </c>
      <c r="D93" s="5" t="n">
        <v>190.37</v>
      </c>
      <c r="E93" s="17" t="n">
        <f aca="false">IFERROR(C93/D93,"")</f>
        <v>0.5041235488785</v>
      </c>
      <c r="F93" s="4" t="str">
        <f aca="false">IF(E93="","",IF(E93&lt;0.8,"cb_ أرخص بوضوح",IF(E93&lt;=1.05,"تقارب","canboso أرخص")))</f>
        <v>cb_ أرخص بوضوح</v>
      </c>
    </row>
    <row r="94" customFormat="false" ht="21.75" hidden="false" customHeight="true" outlineLevel="0" collapsed="false">
      <c r="B94" s="7" t="s">
        <v>802</v>
      </c>
      <c r="C94" s="8" t="n">
        <v>22.86</v>
      </c>
      <c r="D94" s="8" t="n">
        <v>22.82</v>
      </c>
      <c r="E94" s="18" t="n">
        <f aca="false">IFERROR(C94/D94,"")</f>
        <v>1.00175284837862</v>
      </c>
      <c r="F94" s="7" t="str">
        <f aca="false">IF(E94="","",IF(E94&lt;0.8,"cb_ أرخص بوضوح",IF(E94&lt;=1.05,"تقارب","canboso أرخص")))</f>
        <v>تقارب</v>
      </c>
    </row>
    <row r="95" customFormat="false" ht="21.75" hidden="false" customHeight="true" outlineLevel="0" collapsed="false">
      <c r="B95" s="4" t="s">
        <v>805</v>
      </c>
      <c r="C95" s="5" t="n">
        <v>12.81</v>
      </c>
      <c r="D95" s="5" t="n">
        <v>15.2</v>
      </c>
      <c r="E95" s="17" t="n">
        <f aca="false">IFERROR(C95/D95,"")</f>
        <v>0.842763157894737</v>
      </c>
      <c r="F95" s="4" t="str">
        <f aca="false">IF(E95="","",IF(E95&lt;0.8,"cb_ أرخص بوضوح",IF(E95&lt;=1.05,"تقارب","canboso أرخص")))</f>
        <v>تقارب</v>
      </c>
    </row>
    <row r="96" customFormat="false" ht="21.75" hidden="false" customHeight="true" outlineLevel="0" collapsed="false">
      <c r="B96" s="7" t="s">
        <v>692</v>
      </c>
      <c r="C96" s="8" t="n">
        <v>1.72</v>
      </c>
      <c r="D96" s="8" t="n">
        <v>1.87</v>
      </c>
      <c r="E96" s="18" t="n">
        <f aca="false">IFERROR(C96/D96,"")</f>
        <v>0.919786096256684</v>
      </c>
      <c r="F96" s="7" t="str">
        <f aca="false">IF(E96="","",IF(E96&lt;0.8,"cb_ أرخص بوضوح",IF(E96&lt;=1.05,"تقارب","canboso أرخص")))</f>
        <v>تقارب</v>
      </c>
    </row>
    <row r="97" customFormat="false" ht="21.75" hidden="false" customHeight="true" outlineLevel="0" collapsed="false">
      <c r="B97" s="4" t="s">
        <v>705</v>
      </c>
      <c r="C97" s="5" t="n">
        <v>5.49</v>
      </c>
      <c r="D97" s="5" t="n">
        <v>11.39</v>
      </c>
      <c r="E97" s="17" t="n">
        <f aca="false">IFERROR(C97/D97,"")</f>
        <v>0.482001755926251</v>
      </c>
      <c r="F97" s="4" t="str">
        <f aca="false">IF(E97="","",IF(E97&lt;0.8,"cb_ أرخص بوضوح",IF(E97&lt;=1.05,"تقارب","canboso أرخص")))</f>
        <v>cb_ أرخص بوضوح</v>
      </c>
    </row>
    <row r="98" customFormat="false" ht="21.75" hidden="false" customHeight="true" outlineLevel="0" collapsed="false">
      <c r="B98" s="7" t="s">
        <v>708</v>
      </c>
      <c r="C98" s="8" t="n">
        <v>1.48</v>
      </c>
      <c r="D98" s="8" t="n">
        <v>1.87</v>
      </c>
      <c r="E98" s="18" t="n">
        <f aca="false">IFERROR(C98/D98,"")</f>
        <v>0.79144385026738</v>
      </c>
      <c r="F98" s="7" t="str">
        <f aca="false">IF(E98="","",IF(E98&lt;0.8,"cb_ أرخص بوضوح",IF(E98&lt;=1.05,"تقارب","canboso أرخص")))</f>
        <v>cb_ أرخص بوضوح</v>
      </c>
    </row>
    <row r="99" customFormat="false" ht="21.75" hidden="false" customHeight="true" outlineLevel="0" collapsed="false">
      <c r="B99" s="4" t="s">
        <v>810</v>
      </c>
      <c r="C99" s="5" t="n">
        <v>18.24</v>
      </c>
      <c r="D99" s="5" t="n">
        <v>15.42</v>
      </c>
      <c r="E99" s="17" t="n">
        <f aca="false">IFERROR(C99/D99,"")</f>
        <v>1.18287937743191</v>
      </c>
      <c r="F99" s="4" t="str">
        <f aca="false">IF(E99="","",IF(E99&lt;0.8,"cb_ أرخص بوضوح",IF(E99&lt;=1.05,"تقارب","canboso أرخص")))</f>
        <v>canboso أرخص</v>
      </c>
    </row>
    <row r="100" customFormat="false" ht="21.75" hidden="false" customHeight="true" outlineLevel="0" collapsed="false">
      <c r="B100" s="7" t="s">
        <v>841</v>
      </c>
      <c r="C100" s="8" t="n">
        <v>1.48</v>
      </c>
      <c r="D100" s="8" t="n">
        <v>1.49</v>
      </c>
      <c r="E100" s="18" t="n">
        <f aca="false">IFERROR(C100/D100,"")</f>
        <v>0.993288590604027</v>
      </c>
      <c r="F100" s="7" t="str">
        <f aca="false">IF(E100="","",IF(E100&lt;0.8,"cb_ أرخص بوضوح",IF(E100&lt;=1.05,"تقارب","canboso أرخص")))</f>
        <v>تقارب</v>
      </c>
    </row>
    <row r="101" customFormat="false" ht="21.75" hidden="false" customHeight="true" outlineLevel="0" collapsed="false">
      <c r="B101" s="4" t="s">
        <v>902</v>
      </c>
      <c r="C101" s="5" t="n">
        <v>0.41</v>
      </c>
      <c r="D101" s="5" t="n">
        <v>1.11</v>
      </c>
      <c r="E101" s="17" t="n">
        <f aca="false">IFERROR(C101/D101,"")</f>
        <v>0.369369369369369</v>
      </c>
      <c r="F101" s="4" t="str">
        <f aca="false">IF(E101="","",IF(E101&lt;0.8,"cb_ أرخص بوضوح",IF(E101&lt;=1.05,"تقارب","canboso أرخص")))</f>
        <v>cb_ أرخص بوضوح</v>
      </c>
    </row>
    <row r="102" customFormat="false" ht="21.75" hidden="false" customHeight="true" outlineLevel="0" collapsed="false">
      <c r="B102" s="7" t="s">
        <v>383</v>
      </c>
      <c r="C102" s="8" t="n">
        <v>7.14</v>
      </c>
      <c r="D102" s="8" t="n">
        <v>7.58</v>
      </c>
      <c r="E102" s="18" t="n">
        <f aca="false">IFERROR(C102/D102,"")</f>
        <v>0.941952506596306</v>
      </c>
      <c r="F102" s="7" t="str">
        <f aca="false">IF(E102="","",IF(E102&lt;0.8,"cb_ أرخص بوضوح",IF(E102&lt;=1.05,"تقارب","canboso أرخص")))</f>
        <v>تقارب</v>
      </c>
    </row>
    <row r="103" customFormat="false" ht="21.75" hidden="false" customHeight="true" outlineLevel="0" collapsed="false">
      <c r="B103" s="4" t="s">
        <v>386</v>
      </c>
      <c r="C103" s="5" t="n">
        <v>1.23</v>
      </c>
      <c r="D103" s="5" t="n">
        <v>1.49</v>
      </c>
      <c r="E103" s="17" t="n">
        <f aca="false">IFERROR(C103/D103,"")</f>
        <v>0.825503355704698</v>
      </c>
      <c r="F103" s="4" t="str">
        <f aca="false">IF(E103="","",IF(E103&lt;0.8,"cb_ أرخص بوضوح",IF(E103&lt;=1.05,"تقارب","canboso أرخص")))</f>
        <v>تقارب</v>
      </c>
    </row>
    <row r="104" customFormat="false" ht="21.75" hidden="false" customHeight="true" outlineLevel="0" collapsed="false">
      <c r="B104" s="7" t="s">
        <v>638</v>
      </c>
      <c r="C104" s="8" t="n">
        <v>1.96</v>
      </c>
      <c r="D104" s="8" t="n">
        <v>22.51</v>
      </c>
      <c r="E104" s="18" t="n">
        <f aca="false">IFERROR(C104/D104,"")</f>
        <v>0.0870724122612172</v>
      </c>
      <c r="F104" s="7" t="str">
        <f aca="false">IF(E104="","",IF(E104&lt;0.8,"cb_ أرخص بوضوح",IF(E104&lt;=1.05,"تقارب","canboso أرخص")))</f>
        <v>cb_ أرخص بوضوح</v>
      </c>
    </row>
    <row r="105" customFormat="false" ht="21.75" hidden="false" customHeight="true" outlineLevel="0" collapsed="false">
      <c r="B105" s="4" t="s">
        <v>537</v>
      </c>
      <c r="C105" s="5" t="n">
        <v>21.72</v>
      </c>
      <c r="D105" s="5" t="n">
        <v>22.82</v>
      </c>
      <c r="E105" s="17" t="n">
        <f aca="false">IFERROR(C105/D105,"")</f>
        <v>0.951796669588081</v>
      </c>
      <c r="F105" s="4" t="str">
        <f aca="false">IF(E105="","",IF(E105&lt;0.8,"cb_ أرخص بوضوح",IF(E105&lt;=1.05,"تقارب","canboso أرخص")))</f>
        <v>تقارب</v>
      </c>
    </row>
    <row r="106" customFormat="false" ht="21.75" hidden="false" customHeight="true" outlineLevel="0" collapsed="false">
      <c r="B106" s="7" t="s">
        <v>578</v>
      </c>
      <c r="C106" s="8" t="n">
        <v>0.75</v>
      </c>
      <c r="D106" s="8" t="n">
        <v>1.11</v>
      </c>
      <c r="E106" s="18" t="n">
        <f aca="false">IFERROR(C106/D106,"")</f>
        <v>0.675675675675676</v>
      </c>
      <c r="F106" s="7" t="str">
        <f aca="false">IF(E106="","",IF(E106&lt;0.8,"cb_ أرخص بوضوح",IF(E106&lt;=1.05,"تقارب","canboso أرخص")))</f>
        <v>cb_ أرخص بوضوح</v>
      </c>
    </row>
    <row r="107" customFormat="false" ht="21.75" hidden="false" customHeight="true" outlineLevel="0" collapsed="false">
      <c r="B107" s="4" t="s">
        <v>388</v>
      </c>
      <c r="C107" s="5" t="n">
        <v>12.81</v>
      </c>
      <c r="D107" s="5" t="n">
        <v>11.39</v>
      </c>
      <c r="E107" s="17" t="n">
        <f aca="false">IFERROR(C107/D107,"")</f>
        <v>1.12467076382792</v>
      </c>
      <c r="F107" s="4" t="str">
        <f aca="false">IF(E107="","",IF(E107&lt;0.8,"cb_ أرخص بوضوح",IF(E107&lt;=1.05,"تقارب","canboso أرخص")))</f>
        <v>canboso أرخص</v>
      </c>
    </row>
    <row r="108" customFormat="false" ht="21.75" hidden="false" customHeight="true" outlineLevel="0" collapsed="false">
      <c r="B108" s="7" t="s">
        <v>392</v>
      </c>
      <c r="C108" s="8" t="n">
        <v>13.26</v>
      </c>
      <c r="D108" s="8" t="n">
        <v>12.53</v>
      </c>
      <c r="E108" s="18" t="n">
        <f aca="false">IFERROR(C108/D108,"")</f>
        <v>1.05826017557861</v>
      </c>
      <c r="F108" s="7" t="str">
        <f aca="false">IF(E108="","",IF(E108&lt;0.8,"cb_ أرخص بوضوح",IF(E108&lt;=1.05,"تقارب","canboso أرخص")))</f>
        <v>canboso أرخص</v>
      </c>
    </row>
    <row r="109" customFormat="false" ht="21.75" hidden="false" customHeight="true" outlineLevel="0" collapsed="false">
      <c r="B109" s="4" t="s">
        <v>395</v>
      </c>
      <c r="C109" s="5" t="n">
        <v>11.44</v>
      </c>
      <c r="D109" s="5" t="n">
        <v>10.63</v>
      </c>
      <c r="E109" s="17" t="n">
        <f aca="false">IFERROR(C109/D109,"")</f>
        <v>1.07619943555974</v>
      </c>
      <c r="F109" s="4" t="str">
        <f aca="false">IF(E109="","",IF(E109&lt;0.8,"cb_ أرخص بوضوح",IF(E109&lt;=1.05,"تقارب","canboso أرخص")))</f>
        <v>canboso أرخص</v>
      </c>
    </row>
    <row r="110" customFormat="false" ht="21.75" hidden="false" customHeight="true" outlineLevel="0" collapsed="false">
      <c r="B110" s="7" t="s">
        <v>413</v>
      </c>
      <c r="C110" s="8" t="n">
        <v>1</v>
      </c>
      <c r="D110" s="8" t="n">
        <v>1.49</v>
      </c>
      <c r="E110" s="18" t="n">
        <f aca="false">IFERROR(C110/D110,"")</f>
        <v>0.671140939597316</v>
      </c>
      <c r="F110" s="7" t="str">
        <f aca="false">IF(E110="","",IF(E110&lt;0.8,"cb_ أرخص بوضوح",IF(E110&lt;=1.05,"تقارب","canboso أرخص")))</f>
        <v>cb_ أرخص بوضوح</v>
      </c>
    </row>
    <row r="111" customFormat="false" ht="21.75" hidden="false" customHeight="true" outlineLevel="0" collapsed="false">
      <c r="B111" s="4" t="s">
        <v>907</v>
      </c>
      <c r="C111" s="5" t="n">
        <v>5.03</v>
      </c>
      <c r="D111" s="5" t="n">
        <v>7.58</v>
      </c>
      <c r="E111" s="17" t="n">
        <f aca="false">IFERROR(C111/D111,"")</f>
        <v>0.663588390501319</v>
      </c>
      <c r="F111" s="4" t="str">
        <f aca="false">IF(E111="","",IF(E111&lt;0.8,"cb_ أرخص بوضوح",IF(E111&lt;=1.05,"تقارب","canboso أرخص")))</f>
        <v>cb_ أرخص بوضوح</v>
      </c>
    </row>
    <row r="112" customFormat="false" ht="21.75" hidden="false" customHeight="true" outlineLevel="0" collapsed="false">
      <c r="B112" s="7" t="s">
        <v>731</v>
      </c>
      <c r="C112" s="8" t="n">
        <v>2.52</v>
      </c>
      <c r="D112" s="8" t="n">
        <v>3.77</v>
      </c>
      <c r="E112" s="18" t="n">
        <f aca="false">IFERROR(C112/D112,"")</f>
        <v>0.6684350132626</v>
      </c>
      <c r="F112" s="7" t="str">
        <f aca="false">IF(E112="","",IF(E112&lt;0.8,"cb_ أرخص بوضوح",IF(E112&lt;=1.05,"تقارب","canboso أرخص")))</f>
        <v>cb_ أرخص بوضوح</v>
      </c>
    </row>
    <row r="113" customFormat="false" ht="21.75" hidden="false" customHeight="true" outlineLevel="0" collapsed="false">
      <c r="B113" s="4" t="s">
        <v>422</v>
      </c>
      <c r="C113" s="5" t="n">
        <v>2.75</v>
      </c>
      <c r="D113" s="5" t="n">
        <v>3.39</v>
      </c>
      <c r="E113" s="17" t="n">
        <f aca="false">IFERROR(C113/D113,"")</f>
        <v>0.811209439528024</v>
      </c>
      <c r="F113" s="4" t="str">
        <f aca="false">IF(E113="","",IF(E113&lt;0.8,"cb_ أرخص بوضوح",IF(E113&lt;=1.05,"تقارب","canboso أرخص")))</f>
        <v>تقارب</v>
      </c>
    </row>
    <row r="114" customFormat="false" ht="21.75" hidden="false" customHeight="true" outlineLevel="0" collapsed="false">
      <c r="B114" s="7" t="s">
        <v>817</v>
      </c>
      <c r="C114" s="8" t="n">
        <v>1.48</v>
      </c>
      <c r="D114" s="8" t="n">
        <v>1.87</v>
      </c>
      <c r="E114" s="18" t="n">
        <f aca="false">IFERROR(C114/D114,"")</f>
        <v>0.79144385026738</v>
      </c>
      <c r="F114" s="7" t="str">
        <f aca="false">IF(E114="","",IF(E114&lt;0.8,"cb_ أرخص بوضوح",IF(E114&lt;=1.05,"تقارب","canboso أرخص")))</f>
        <v>cb_ أرخص بوضوح</v>
      </c>
    </row>
    <row r="115" customFormat="false" ht="21.75" hidden="false" customHeight="true" outlineLevel="0" collapsed="false">
      <c r="B115" s="4" t="s">
        <v>821</v>
      </c>
      <c r="C115" s="5" t="n">
        <v>2.21</v>
      </c>
      <c r="D115" s="5" t="n">
        <v>3.01</v>
      </c>
      <c r="E115" s="17" t="n">
        <f aca="false">IFERROR(C115/D115,"")</f>
        <v>0.73421926910299</v>
      </c>
      <c r="F115" s="4" t="str">
        <f aca="false">IF(E115="","",IF(E115&lt;0.8,"cb_ أرخص بوضوح",IF(E115&lt;=1.05,"تقارب","canboso أرخص")))</f>
        <v>cb_ أرخص بوضوح</v>
      </c>
    </row>
    <row r="116" customFormat="false" ht="25.5" hidden="false" customHeight="true" outlineLevel="0" collapsed="false">
      <c r="B116" s="10" t="s">
        <v>2433</v>
      </c>
      <c r="C116" s="10"/>
      <c r="D116" s="10"/>
      <c r="E116" s="19" t="n">
        <v>0.912</v>
      </c>
      <c r="F116" s="10"/>
    </row>
    <row r="118" customFormat="false" ht="15" hidden="false" customHeight="false" outlineLevel="0" collapsed="false">
      <c r="B118" s="12" t="s">
        <v>2434</v>
      </c>
    </row>
  </sheetData>
  <mergeCells count="1">
    <mergeCell ref="B2:F2"/>
  </mergeCells>
  <conditionalFormatting sqref="E5:E115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9"/>
    <col collapsed="false" customWidth="true" hidden="false" outlineLevel="0" max="3" min="3" style="1" width="26"/>
    <col collapsed="false" customWidth="true" hidden="false" outlineLevel="0" max="6" min="4" style="1" width="8"/>
  </cols>
  <sheetData>
    <row r="2" customFormat="false" ht="31.5" hidden="false" customHeight="true" outlineLevel="0" collapsed="false">
      <c r="B2" s="2" t="s">
        <v>2435</v>
      </c>
      <c r="C2" s="2"/>
      <c r="D2" s="2"/>
      <c r="E2" s="2"/>
      <c r="F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2436</v>
      </c>
      <c r="C4" s="3" t="s">
        <v>2437</v>
      </c>
      <c r="D4" s="3" t="s">
        <v>2438</v>
      </c>
      <c r="E4" s="3" t="s">
        <v>2439</v>
      </c>
      <c r="F4" s="3" t="s">
        <v>2440</v>
      </c>
    </row>
    <row r="5" customFormat="false" ht="21.75" hidden="false" customHeight="true" outlineLevel="0" collapsed="false">
      <c r="B5" s="4" t="s">
        <v>2441</v>
      </c>
      <c r="C5" s="4" t="n">
        <v>0</v>
      </c>
      <c r="D5" s="17" t="n">
        <v>3</v>
      </c>
      <c r="E5" s="17" t="n">
        <v>0</v>
      </c>
      <c r="F5" s="17" t="n">
        <v>1</v>
      </c>
    </row>
    <row r="6" customFormat="false" ht="21.75" hidden="false" customHeight="true" outlineLevel="0" collapsed="false">
      <c r="B6" s="7" t="s">
        <v>2442</v>
      </c>
      <c r="C6" s="7" t="n">
        <v>0</v>
      </c>
      <c r="D6" s="18" t="n">
        <v>30</v>
      </c>
      <c r="E6" s="18" t="n">
        <v>0</v>
      </c>
      <c r="F6" s="18" t="n">
        <v>1</v>
      </c>
    </row>
    <row r="7" customFormat="false" ht="21.75" hidden="false" customHeight="true" outlineLevel="0" collapsed="false">
      <c r="B7" s="4" t="s">
        <v>2443</v>
      </c>
      <c r="C7" s="4" t="n">
        <v>0</v>
      </c>
      <c r="D7" s="17" t="n">
        <v>3</v>
      </c>
      <c r="E7" s="17" t="n">
        <v>0</v>
      </c>
      <c r="F7" s="17" t="n">
        <v>1</v>
      </c>
    </row>
    <row r="8" customFormat="false" ht="21.75" hidden="false" customHeight="true" outlineLevel="0" collapsed="false">
      <c r="B8" s="7" t="s">
        <v>2444</v>
      </c>
      <c r="C8" s="7" t="n">
        <v>0</v>
      </c>
      <c r="D8" s="18" t="n">
        <v>3</v>
      </c>
      <c r="E8" s="18" t="n">
        <v>0</v>
      </c>
      <c r="F8" s="18" t="n">
        <v>1</v>
      </c>
    </row>
    <row r="9" customFormat="false" ht="21.75" hidden="false" customHeight="true" outlineLevel="0" collapsed="false">
      <c r="B9" s="4" t="s">
        <v>2445</v>
      </c>
      <c r="C9" s="4" t="n">
        <v>0</v>
      </c>
      <c r="D9" s="17" t="n">
        <v>3</v>
      </c>
      <c r="E9" s="17" t="n">
        <v>0</v>
      </c>
      <c r="F9" s="17" t="n">
        <v>1</v>
      </c>
    </row>
    <row r="10" customFormat="false" ht="21.75" hidden="false" customHeight="true" outlineLevel="0" collapsed="false">
      <c r="B10" s="7" t="s">
        <v>2446</v>
      </c>
      <c r="C10" s="7" t="n">
        <v>0</v>
      </c>
      <c r="D10" s="18" t="n">
        <v>37.5</v>
      </c>
      <c r="E10" s="18" t="n">
        <v>0</v>
      </c>
      <c r="F10" s="18" t="n">
        <v>2</v>
      </c>
    </row>
    <row r="11" customFormat="false" ht="21.75" hidden="false" customHeight="true" outlineLevel="0" collapsed="false">
      <c r="B11" s="4" t="s">
        <v>2447</v>
      </c>
      <c r="C11" s="4" t="n">
        <v>0</v>
      </c>
      <c r="D11" s="17" t="n">
        <v>5</v>
      </c>
      <c r="E11" s="17" t="n">
        <v>0</v>
      </c>
      <c r="F11" s="17" t="n">
        <v>1</v>
      </c>
    </row>
    <row r="12" customFormat="false" ht="21.75" hidden="false" customHeight="true" outlineLevel="0" collapsed="false">
      <c r="B12" s="7" t="s">
        <v>2448</v>
      </c>
      <c r="C12" s="7" t="n">
        <v>0</v>
      </c>
      <c r="D12" s="18" t="n">
        <v>2.5</v>
      </c>
      <c r="E12" s="18" t="n">
        <v>0</v>
      </c>
      <c r="F12" s="18" t="n">
        <v>5</v>
      </c>
    </row>
    <row r="13" customFormat="false" ht="21.75" hidden="false" customHeight="true" outlineLevel="0" collapsed="false">
      <c r="B13" s="4" t="s">
        <v>2449</v>
      </c>
      <c r="C13" s="4" t="n">
        <v>0</v>
      </c>
      <c r="D13" s="17" t="n">
        <v>2.5</v>
      </c>
      <c r="E13" s="17" t="n">
        <v>0</v>
      </c>
      <c r="F13" s="17" t="n">
        <v>5</v>
      </c>
    </row>
    <row r="14" customFormat="false" ht="21.75" hidden="false" customHeight="true" outlineLevel="0" collapsed="false">
      <c r="B14" s="7" t="s">
        <v>2450</v>
      </c>
      <c r="C14" s="7" t="n">
        <v>0</v>
      </c>
      <c r="D14" s="18" t="n">
        <v>37.5</v>
      </c>
      <c r="E14" s="18" t="n">
        <v>0</v>
      </c>
      <c r="F14" s="18" t="n">
        <v>1</v>
      </c>
    </row>
    <row r="15" customFormat="false" ht="21.75" hidden="false" customHeight="true" outlineLevel="0" collapsed="false">
      <c r="B15" s="4" t="s">
        <v>2451</v>
      </c>
      <c r="C15" s="4" t="n">
        <v>0</v>
      </c>
      <c r="D15" s="17" t="n">
        <v>3</v>
      </c>
      <c r="E15" s="17" t="n">
        <v>0</v>
      </c>
      <c r="F15" s="17" t="n">
        <v>5</v>
      </c>
    </row>
    <row r="16" customFormat="false" ht="21.75" hidden="false" customHeight="true" outlineLevel="0" collapsed="false">
      <c r="B16" s="7" t="s">
        <v>2452</v>
      </c>
      <c r="C16" s="7" t="n">
        <v>0</v>
      </c>
      <c r="D16" s="18" t="n">
        <v>37.5</v>
      </c>
      <c r="E16" s="18" t="n">
        <v>0</v>
      </c>
      <c r="F16" s="18" t="n">
        <v>5</v>
      </c>
    </row>
    <row r="17" customFormat="false" ht="21.75" hidden="false" customHeight="true" outlineLevel="0" collapsed="false">
      <c r="B17" s="4" t="s">
        <v>2453</v>
      </c>
      <c r="C17" s="4" t="n">
        <v>0</v>
      </c>
      <c r="D17" s="17" t="n">
        <v>37.5</v>
      </c>
      <c r="E17" s="17" t="n">
        <v>0</v>
      </c>
      <c r="F17" s="17" t="n">
        <v>1</v>
      </c>
    </row>
    <row r="18" customFormat="false" ht="21.75" hidden="false" customHeight="true" outlineLevel="0" collapsed="false">
      <c r="B18" s="7" t="s">
        <v>2454</v>
      </c>
      <c r="C18" s="7" t="n">
        <v>0</v>
      </c>
      <c r="D18" s="18" t="n">
        <v>37.5</v>
      </c>
      <c r="E18" s="18" t="n">
        <v>0</v>
      </c>
      <c r="F18" s="18" t="n">
        <v>1</v>
      </c>
    </row>
    <row r="19" customFormat="false" ht="21.75" hidden="false" customHeight="true" outlineLevel="0" collapsed="false">
      <c r="B19" s="4" t="s">
        <v>2455</v>
      </c>
      <c r="C19" s="4" t="n">
        <v>0</v>
      </c>
      <c r="D19" s="17" t="n">
        <v>2.5</v>
      </c>
      <c r="E19" s="17" t="n">
        <v>0</v>
      </c>
      <c r="F19" s="17" t="n">
        <v>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5" min="5" style="1" width="33"/>
  </cols>
  <sheetData>
    <row r="2" customFormat="false" ht="31.5" hidden="false" customHeight="true" outlineLevel="0" collapsed="false">
      <c r="B2" s="2" t="s">
        <v>2456</v>
      </c>
      <c r="C2" s="2"/>
      <c r="D2" s="2"/>
      <c r="E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2457</v>
      </c>
      <c r="C4" s="3" t="s">
        <v>2458</v>
      </c>
      <c r="D4" s="3" t="s">
        <v>2459</v>
      </c>
      <c r="E4" s="3" t="s">
        <v>2460</v>
      </c>
    </row>
    <row r="5" customFormat="false" ht="21.75" hidden="false" customHeight="true" outlineLevel="0" collapsed="false">
      <c r="B5" s="4" t="s">
        <v>2461</v>
      </c>
      <c r="C5" s="13" t="n">
        <v>282</v>
      </c>
      <c r="D5" s="6" t="n">
        <f aca="false">COUNTA(StackVault_الحي!B5:B286)</f>
        <v>282</v>
      </c>
      <c r="E5" s="4" t="str">
        <f aca="false">IF(C5=D5,"✓ مطابق","✗ راجع")</f>
        <v>✓ مطابق</v>
      </c>
    </row>
    <row r="6" customFormat="false" ht="21.75" hidden="false" customHeight="true" outlineLevel="0" collapsed="false">
      <c r="B6" s="7" t="s">
        <v>2462</v>
      </c>
      <c r="C6" s="14" t="n">
        <v>357</v>
      </c>
      <c r="D6" s="9" t="n">
        <f aca="false">COUNTA(StackVault_الأرشيف!B5:B361)</f>
        <v>357</v>
      </c>
      <c r="E6" s="7" t="str">
        <f aca="false">IF(C6=D6,"✓ مطابق","✗ راجع")</f>
        <v>✓ مطابق</v>
      </c>
    </row>
    <row r="7" customFormat="false" ht="21.75" hidden="false" customHeight="true" outlineLevel="0" collapsed="false">
      <c r="B7" s="4" t="s">
        <v>2463</v>
      </c>
      <c r="C7" s="13" t="n">
        <v>473</v>
      </c>
      <c r="D7" s="6" t="n">
        <f aca="false">COUNTA(الكيانات_الخارجية!B5:B477)</f>
        <v>473</v>
      </c>
      <c r="E7" s="4" t="str">
        <f aca="false">IF(C7=D7,"✓ مطابق","✗ راجع")</f>
        <v>✓ مطابق</v>
      </c>
    </row>
    <row r="8" customFormat="false" ht="21.75" hidden="false" customHeight="true" outlineLevel="0" collapsed="false">
      <c r="B8" s="7" t="s">
        <v>2464</v>
      </c>
      <c r="C8" s="14" t="n">
        <v>111</v>
      </c>
      <c r="D8" s="9" t="n">
        <f aca="false">COUNTA(مقارنة_الأسعار!B5:B115)</f>
        <v>111</v>
      </c>
      <c r="E8" s="7" t="str">
        <f aca="false">IF(C8=D8,"✓ مطابق","✗ راجع")</f>
        <v>✓ مطابق</v>
      </c>
    </row>
    <row r="9" customFormat="false" ht="21.75" hidden="false" customHeight="true" outlineLevel="0" collapsed="false">
      <c r="B9" s="4" t="s">
        <v>2465</v>
      </c>
      <c r="C9" s="13" t="n">
        <v>15</v>
      </c>
      <c r="D9" s="6" t="n">
        <f aca="false">COUNTA(بوابة_teamsoclo!B5:B19)</f>
        <v>15</v>
      </c>
      <c r="E9" s="4" t="str">
        <f aca="false">IF(C9=D9,"✓ مطابق","✗ راجع")</f>
        <v>✓ مطابق</v>
      </c>
    </row>
    <row r="10" customFormat="false" ht="21.75" hidden="false" customHeight="true" outlineLevel="0" collapsed="false">
      <c r="B10" s="7" t="s">
        <v>2466</v>
      </c>
      <c r="C10" s="14" t="n">
        <v>1112</v>
      </c>
      <c r="D10" s="9" t="n">
        <f aca="false">D5+D6+D7</f>
        <v>1112</v>
      </c>
      <c r="E10" s="7" t="str">
        <f aca="false">IF(C10=D10,"✓ مطابق","✗ راجع")</f>
        <v>✓ مطابق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2026-10-02T02:16:45Z</dcterms:created>
  <dc:creator>Z.ai</dc:creator>
  <dc:description/>
  <dc:language>en-US</dc:language>
  <cp:lastModifiedBy/>
  <dcterms:modified xsi:type="dcterms:W3CDTF">2026-10-02T02:16:46Z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